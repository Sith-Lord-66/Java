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ros\Downloads\spreadsheets\"/>
    </mc:Choice>
  </mc:AlternateContent>
  <xr:revisionPtr revIDLastSave="0" documentId="13_ncr:1_{53CF7E3E-74DD-4B02-A566-538AD615234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Calculations!$G$10:$J$10,Calculations!$M$10:$O$10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Calculations!$O$7</definedName>
    <definedName name="CurrentTrendBurnRate">Calculations!$G$9</definedName>
    <definedName name="DatesSeriesData">Calculations!$G$3:$J$3,Calculations!$M$3:$Q$3,Calculations!$T$3:$X$3,Calculations!$AA$3:$AC$3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Calculations!$G$7:$J$7,Calculations!$M$7:$Q$7,Calculations!$T$7:$X$7,Calculations!$AA$7:$AC$7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Calculations!$G$12:$J$12,Calculations!$M$12:$Q$12,Calculations!$T$12:$X$12,Calculations!$AA$12:$AC$12</definedName>
    <definedName name="OptimalBurndownPathTrendSeriesData">Calculations!$G$14:$J$14,Calculations!$M$14:$Q$14,Calculations!$T$14:$X$14,Calculations!$AA$14:$AC$14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Calculations!$G$16:$J$16,Calculations!$M$16:$Q$16,Calculations!$T$16:$X$16,Calculations!$AA$16:$AC$16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Calculations!$G$17:$J$17,Calculations!$M$17:$Q$17,Calculations!$T$17:$X$17,Calculations!$AA$17:$AC$17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Calculations!$G$19:$J$19,Calculations!$M$19:$Q$19,Calculations!$T$19:$X$19,Calculations!$AA$19:$AC$19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2" i="4" l="1"/>
  <c r="K42" i="4"/>
  <c r="J42" i="4"/>
  <c r="I42" i="4"/>
  <c r="H42" i="4"/>
  <c r="G42" i="4"/>
  <c r="F42" i="4"/>
  <c r="E42" i="4"/>
  <c r="D42" i="4"/>
  <c r="C42" i="4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4" i="5"/>
  <c r="AC23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2" i="5"/>
  <c r="AC1" i="5"/>
  <c r="B41" i="4"/>
  <c r="A41" i="4"/>
  <c r="D24" i="4"/>
  <c r="E24" i="4"/>
  <c r="AI21" i="6"/>
  <c r="AL21" i="6"/>
  <c r="AG21" i="6"/>
  <c r="AN21" i="6"/>
  <c r="AF21" i="6"/>
  <c r="AO21" i="6"/>
  <c r="AO22" i="6" s="1"/>
  <c r="AH21" i="6"/>
  <c r="AJ21" i="6"/>
  <c r="AM21" i="6"/>
  <c r="AD21" i="6"/>
  <c r="AD22" i="6" s="1"/>
  <c r="AJ22" i="6"/>
  <c r="AE21" i="6"/>
  <c r="AE22" i="6" s="1"/>
  <c r="AM22" i="6"/>
  <c r="AH22" i="6"/>
  <c r="AK21" i="6"/>
  <c r="AK22" i="6" s="1"/>
  <c r="L41" i="4"/>
  <c r="K41" i="4"/>
  <c r="J41" i="4"/>
  <c r="I41" i="4"/>
  <c r="H41" i="4"/>
  <c r="G41" i="4"/>
  <c r="F41" i="4"/>
  <c r="L40" i="4"/>
  <c r="K40" i="4"/>
  <c r="J40" i="4"/>
  <c r="I40" i="4"/>
  <c r="H40" i="4"/>
  <c r="G40" i="4"/>
  <c r="F40" i="4"/>
  <c r="L39" i="4"/>
  <c r="K39" i="4"/>
  <c r="I39" i="4"/>
  <c r="H39" i="4"/>
  <c r="G39" i="4"/>
  <c r="J39" i="4"/>
  <c r="F39" i="4"/>
  <c r="L38" i="4"/>
  <c r="K38" i="4"/>
  <c r="J38" i="4"/>
  <c r="I38" i="4"/>
  <c r="H38" i="4"/>
  <c r="G38" i="4"/>
  <c r="F38" i="4"/>
  <c r="K37" i="4"/>
  <c r="J37" i="4"/>
  <c r="I37" i="4"/>
  <c r="H37" i="4"/>
  <c r="L37" i="4"/>
  <c r="G37" i="4"/>
  <c r="F37" i="4"/>
  <c r="K36" i="4"/>
  <c r="J36" i="4"/>
  <c r="I36" i="4"/>
  <c r="H36" i="4"/>
  <c r="G36" i="4"/>
  <c r="L36" i="4"/>
  <c r="F36" i="4"/>
  <c r="L35" i="4"/>
  <c r="K35" i="4"/>
  <c r="I35" i="4"/>
  <c r="J35" i="4"/>
  <c r="H35" i="4"/>
  <c r="G35" i="4"/>
  <c r="F35" i="4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I10" i="7"/>
  <c r="D13" i="7"/>
  <c r="V15" i="7"/>
  <c r="S11" i="7"/>
  <c r="N14" i="7"/>
  <c r="C10" i="7"/>
  <c r="U12" i="7"/>
  <c r="P15" i="7"/>
  <c r="T10" i="7"/>
  <c r="O13" i="7"/>
  <c r="D9" i="7"/>
  <c r="V11" i="7"/>
  <c r="Q14" i="7"/>
  <c r="F10" i="7"/>
  <c r="X12" i="7"/>
  <c r="S15" i="7"/>
  <c r="P11" i="7"/>
  <c r="K14" i="7"/>
  <c r="H10" i="7"/>
  <c r="C13" i="7"/>
  <c r="U15" i="7"/>
  <c r="E11" i="7"/>
  <c r="G12" i="7"/>
  <c r="N10" i="7"/>
  <c r="F9" i="7"/>
  <c r="S14" i="7"/>
  <c r="K13" i="7"/>
  <c r="Q10" i="7"/>
  <c r="L13" i="7"/>
  <c r="I9" i="7"/>
  <c r="D12" i="7"/>
  <c r="V14" i="7"/>
  <c r="K10" i="7"/>
  <c r="F13" i="7"/>
  <c r="X15" i="7"/>
  <c r="W13" i="7"/>
  <c r="L9" i="7"/>
  <c r="B15" i="7"/>
  <c r="I13" i="7"/>
  <c r="X11" i="7"/>
  <c r="P10" i="7"/>
  <c r="B11" i="7"/>
  <c r="T13" i="7"/>
  <c r="Q9" i="7"/>
  <c r="L12" i="7"/>
  <c r="G15" i="7"/>
  <c r="S10" i="7"/>
  <c r="N13" i="7"/>
  <c r="B8" i="7"/>
  <c r="M11" i="7"/>
  <c r="H14" i="7"/>
  <c r="T9" i="7"/>
  <c r="O12" i="7"/>
  <c r="J15" i="7"/>
  <c r="V10" i="7"/>
  <c r="Q13" i="7"/>
  <c r="N9" i="7"/>
  <c r="I12" i="7"/>
  <c r="D15" i="7"/>
  <c r="X10" i="7"/>
  <c r="S13" i="7"/>
  <c r="J14" i="7"/>
  <c r="Q11" i="7"/>
  <c r="K15" i="7"/>
  <c r="J11" i="7"/>
  <c r="E14" i="7"/>
  <c r="B10" i="7"/>
  <c r="T12" i="7"/>
  <c r="O15" i="7"/>
  <c r="D11" i="7"/>
  <c r="V13" i="7"/>
  <c r="C9" i="7"/>
  <c r="U11" i="7"/>
  <c r="P14" i="7"/>
  <c r="E10" i="7"/>
  <c r="W12" i="7"/>
  <c r="R15" i="7"/>
  <c r="G11" i="7"/>
  <c r="B14" i="7"/>
  <c r="V9" i="7"/>
  <c r="Q12" i="7"/>
  <c r="L15" i="7"/>
  <c r="I11" i="7"/>
  <c r="D14" i="7"/>
  <c r="B6" i="7"/>
  <c r="B13" i="7"/>
  <c r="L14" i="7"/>
  <c r="H11" i="7"/>
  <c r="M15" i="7"/>
  <c r="R11" i="7"/>
  <c r="M14" i="7"/>
  <c r="J10" i="7"/>
  <c r="E13" i="7"/>
  <c r="W15" i="7"/>
  <c r="L11" i="7"/>
  <c r="G14" i="7"/>
  <c r="K9" i="7"/>
  <c r="F12" i="7"/>
  <c r="X14" i="7"/>
  <c r="M10" i="7"/>
  <c r="H13" i="7"/>
  <c r="O11" i="7"/>
  <c r="G10" i="7"/>
  <c r="T15" i="7"/>
  <c r="W9" i="7"/>
  <c r="H9" i="7"/>
  <c r="C12" i="7"/>
  <c r="U14" i="7"/>
  <c r="R10" i="7"/>
  <c r="M13" i="7"/>
  <c r="B9" i="7"/>
  <c r="T11" i="7"/>
  <c r="O14" i="7"/>
  <c r="S9" i="7"/>
  <c r="N12" i="7"/>
  <c r="I15" i="7"/>
  <c r="U10" i="7"/>
  <c r="P13" i="7"/>
  <c r="E9" i="7"/>
  <c r="W11" i="7"/>
  <c r="R14" i="7"/>
  <c r="O10" i="7"/>
  <c r="J13" i="7"/>
  <c r="G9" i="7"/>
  <c r="B12" i="7"/>
  <c r="T14" i="7"/>
  <c r="H15" i="7"/>
  <c r="N11" i="7"/>
  <c r="P12" i="7"/>
  <c r="R12" i="7"/>
  <c r="P9" i="7"/>
  <c r="K12" i="7"/>
  <c r="F15" i="7"/>
  <c r="C11" i="7"/>
  <c r="U13" i="7"/>
  <c r="J9" i="7"/>
  <c r="E12" i="7"/>
  <c r="W14" i="7"/>
  <c r="D10" i="7"/>
  <c r="V12" i="7"/>
  <c r="Q15" i="7"/>
  <c r="F11" i="7"/>
  <c r="X13" i="7"/>
  <c r="M9" i="7"/>
  <c r="H12" i="7"/>
  <c r="C15" i="7"/>
  <c r="W10" i="7"/>
  <c r="R13" i="7"/>
  <c r="O9" i="7"/>
  <c r="J12" i="7"/>
  <c r="E15" i="7"/>
  <c r="X9" i="7"/>
  <c r="S12" i="7"/>
  <c r="N15" i="7"/>
  <c r="K11" i="7"/>
  <c r="F14" i="7"/>
  <c r="R9" i="7"/>
  <c r="M12" i="7"/>
  <c r="L10" i="7"/>
  <c r="G13" i="7"/>
  <c r="B7" i="7"/>
  <c r="I14" i="7"/>
  <c r="U9" i="7"/>
  <c r="C14" i="7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T6" i="5" s="1"/>
  <c r="U6" i="5" s="1"/>
  <c r="V6" i="5" s="1"/>
  <c r="W6" i="5" s="1"/>
  <c r="X6" i="5" s="1"/>
  <c r="Y6" i="5" s="1"/>
  <c r="Z6" i="5" s="1"/>
  <c r="AA6" i="5" s="1"/>
  <c r="AB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AA8" i="5" s="1"/>
  <c r="AB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H15" i="5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W15" i="5" s="1"/>
  <c r="X15" i="5" s="1"/>
  <c r="Y15" i="5" s="1"/>
  <c r="Z15" i="5" s="1"/>
  <c r="AA15" i="5" s="1"/>
  <c r="AB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U16" i="5" s="1"/>
  <c r="V16" i="5" s="1"/>
  <c r="W16" i="5" s="1"/>
  <c r="X16" i="5" s="1"/>
  <c r="Y16" i="5" s="1"/>
  <c r="Z16" i="5" s="1"/>
  <c r="AA16" i="5" s="1"/>
  <c r="AB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V17" i="5" s="1"/>
  <c r="W17" i="5" s="1"/>
  <c r="X17" i="5" s="1"/>
  <c r="Y17" i="5" s="1"/>
  <c r="Z17" i="5" s="1"/>
  <c r="AA17" i="5" s="1"/>
  <c r="AB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X22" i="5" s="1"/>
  <c r="Y22" i="5" s="1"/>
  <c r="Z22" i="5" s="1"/>
  <c r="AA22" i="5" s="1"/>
  <c r="AB22" i="5" s="1"/>
  <c r="AC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AA23" i="5" s="1"/>
  <c r="AB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U33" i="5" s="1"/>
  <c r="V33" i="5" s="1"/>
  <c r="W33" i="5" s="1"/>
  <c r="X33" i="5" s="1"/>
  <c r="Y33" i="5" s="1"/>
  <c r="Z33" i="5" s="1"/>
  <c r="AA33" i="5" s="1"/>
  <c r="AB33" i="5" s="1"/>
  <c r="AC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U34" i="5" s="1"/>
  <c r="V34" i="5" s="1"/>
  <c r="W34" i="5" s="1"/>
  <c r="X34" i="5" s="1"/>
  <c r="Y34" i="5" s="1"/>
  <c r="Z34" i="5" s="1"/>
  <c r="AA34" i="5" s="1"/>
  <c r="AB34" i="5" s="1"/>
  <c r="AC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I36" i="5" s="1"/>
  <c r="J36" i="5" s="1"/>
  <c r="K36" i="5" s="1"/>
  <c r="L36" i="5" s="1"/>
  <c r="M36" i="5" s="1"/>
  <c r="N36" i="5" s="1"/>
  <c r="O36" i="5" s="1"/>
  <c r="P36" i="5" s="1"/>
  <c r="Q36" i="5" s="1"/>
  <c r="R36" i="5" s="1"/>
  <c r="S36" i="5" s="1"/>
  <c r="T36" i="5" s="1"/>
  <c r="U36" i="5" s="1"/>
  <c r="V36" i="5" s="1"/>
  <c r="W36" i="5" s="1"/>
  <c r="X36" i="5" s="1"/>
  <c r="Y36" i="5" s="1"/>
  <c r="Z36" i="5" s="1"/>
  <c r="AA36" i="5" s="1"/>
  <c r="AB36" i="5" s="1"/>
  <c r="AC36" i="5" s="1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AG22" i="6"/>
  <c r="AL22" i="6"/>
  <c r="AI22" i="6"/>
  <c r="AF22" i="6"/>
  <c r="AN22" i="6"/>
  <c r="G24" i="4"/>
  <c r="G29" i="4"/>
  <c r="I26" i="4"/>
  <c r="L30" i="4"/>
  <c r="I34" i="4"/>
  <c r="F27" i="4"/>
  <c r="K26" i="4"/>
  <c r="J31" i="4"/>
  <c r="L28" i="4"/>
  <c r="H32" i="4"/>
  <c r="I28" i="4"/>
  <c r="I27" i="4"/>
  <c r="I29" i="4"/>
  <c r="L33" i="4"/>
  <c r="J28" i="4"/>
  <c r="G25" i="4"/>
  <c r="I32" i="4"/>
  <c r="F31" i="4"/>
  <c r="G34" i="4"/>
  <c r="K33" i="4"/>
  <c r="H23" i="4"/>
  <c r="H34" i="4"/>
  <c r="H30" i="4"/>
  <c r="G33" i="4"/>
  <c r="H28" i="4"/>
  <c r="G28" i="4"/>
  <c r="K27" i="4"/>
  <c r="H31" i="4"/>
  <c r="K32" i="4"/>
  <c r="L29" i="4"/>
  <c r="I30" i="4"/>
  <c r="L25" i="4"/>
  <c r="L34" i="4"/>
  <c r="F24" i="4"/>
  <c r="J23" i="4"/>
  <c r="L32" i="4"/>
  <c r="K25" i="4"/>
  <c r="F34" i="4"/>
  <c r="K23" i="4"/>
  <c r="J29" i="4"/>
  <c r="J26" i="4"/>
  <c r="L23" i="4"/>
  <c r="G30" i="4"/>
  <c r="K30" i="4"/>
  <c r="F29" i="4"/>
  <c r="I31" i="4"/>
  <c r="G32" i="4"/>
  <c r="K34" i="4"/>
  <c r="H29" i="4"/>
  <c r="H27" i="4"/>
  <c r="F28" i="4"/>
  <c r="J30" i="4"/>
  <c r="K29" i="4"/>
  <c r="J27" i="4"/>
  <c r="F26" i="4"/>
  <c r="H25" i="4"/>
  <c r="J24" i="4"/>
  <c r="L31" i="4"/>
  <c r="I25" i="4"/>
  <c r="J33" i="4"/>
  <c r="F33" i="4"/>
  <c r="K28" i="4"/>
  <c r="G31" i="4"/>
  <c r="F30" i="4"/>
  <c r="J34" i="4"/>
  <c r="F32" i="4"/>
  <c r="J32" i="4"/>
  <c r="L26" i="4"/>
  <c r="H33" i="4"/>
  <c r="L24" i="4"/>
  <c r="H24" i="4"/>
  <c r="K31" i="4"/>
  <c r="F25" i="4"/>
  <c r="G27" i="4"/>
  <c r="I24" i="4"/>
  <c r="G23" i="4"/>
  <c r="K24" i="4"/>
  <c r="I33" i="4"/>
  <c r="G26" i="4"/>
  <c r="F23" i="4"/>
  <c r="L27" i="4"/>
  <c r="I23" i="4"/>
  <c r="J25" i="4"/>
  <c r="H26" i="4"/>
  <c r="E23" i="4"/>
  <c r="C23" i="4"/>
  <c r="D23" i="4"/>
  <c r="F20" i="4"/>
  <c r="F21" i="4"/>
  <c r="F22" i="4"/>
  <c r="G22" i="4"/>
  <c r="G20" i="4"/>
  <c r="G21" i="4"/>
  <c r="C6" i="7"/>
  <c r="F15" i="4"/>
  <c r="I15" i="4"/>
  <c r="H15" i="4"/>
  <c r="G15" i="4"/>
  <c r="H3" i="5"/>
  <c r="K15" i="4"/>
  <c r="E15" i="4"/>
  <c r="C7" i="7"/>
  <c r="L15" i="4"/>
  <c r="D15" i="4"/>
  <c r="J15" i="4"/>
  <c r="C15" i="4"/>
  <c r="G3" i="5"/>
  <c r="C8" i="7"/>
  <c r="I30" i="5" l="1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C24" i="4"/>
  <c r="D6" i="7"/>
  <c r="I3" i="5"/>
  <c r="D7" i="7"/>
  <c r="D8" i="7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L22" i="4"/>
  <c r="K20" i="4"/>
  <c r="I21" i="4"/>
  <c r="J22" i="4"/>
  <c r="D30" i="4"/>
  <c r="E30" i="4"/>
  <c r="C30" i="4"/>
  <c r="K22" i="4"/>
  <c r="J21" i="4"/>
  <c r="I22" i="4"/>
  <c r="K21" i="4"/>
  <c r="H20" i="4"/>
  <c r="L21" i="4"/>
  <c r="H22" i="4"/>
  <c r="I20" i="4"/>
  <c r="J20" i="4"/>
  <c r="L20" i="4"/>
  <c r="H21" i="4"/>
  <c r="E6" i="7"/>
  <c r="J3" i="5"/>
  <c r="E8" i="7"/>
  <c r="E7" i="7"/>
  <c r="K30" i="5" l="1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C31" i="4"/>
  <c r="D31" i="4"/>
  <c r="E31" i="4"/>
  <c r="F7" i="7"/>
  <c r="K3" i="5"/>
  <c r="F8" i="7"/>
  <c r="F6" i="7"/>
  <c r="L30" i="5" l="1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G6" i="7"/>
  <c r="L3" i="5"/>
  <c r="G7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H7" i="7"/>
  <c r="M3" i="5"/>
  <c r="H6" i="7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8" i="7"/>
  <c r="I7" i="7"/>
  <c r="I6" i="7"/>
  <c r="N3" i="5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8" i="7"/>
  <c r="J7" i="7"/>
  <c r="J6" i="7"/>
  <c r="O3" i="5"/>
  <c r="P30" i="5" l="1"/>
  <c r="P29" i="5"/>
  <c r="P28" i="5"/>
  <c r="J16" i="7"/>
  <c r="J17" i="7" s="1"/>
  <c r="P9" i="5"/>
  <c r="M5" i="6"/>
  <c r="M14" i="6"/>
  <c r="N3" i="6"/>
  <c r="P12" i="5"/>
  <c r="O7" i="6"/>
  <c r="O4" i="5"/>
  <c r="K7" i="7"/>
  <c r="K6" i="7"/>
  <c r="P3" i="5"/>
  <c r="K8" i="7"/>
  <c r="Q30" i="5" l="1"/>
  <c r="Q29" i="5"/>
  <c r="K16" i="7"/>
  <c r="K17" i="7" s="1"/>
  <c r="O8" i="6"/>
  <c r="O16" i="6"/>
  <c r="O17" i="6"/>
  <c r="Q28" i="5"/>
  <c r="Q9" i="5"/>
  <c r="N14" i="6"/>
  <c r="N5" i="6"/>
  <c r="O3" i="6"/>
  <c r="Q12" i="5"/>
  <c r="P7" i="6"/>
  <c r="P8" i="6" s="1"/>
  <c r="P4" i="5"/>
  <c r="Q3" i="5"/>
  <c r="L6" i="7"/>
  <c r="L8" i="7"/>
  <c r="L7" i="7"/>
  <c r="R30" i="5" l="1"/>
  <c r="R29" i="5"/>
  <c r="L16" i="7"/>
  <c r="L17" i="7" s="1"/>
  <c r="R28" i="5"/>
  <c r="R9" i="5"/>
  <c r="O5" i="6"/>
  <c r="O14" i="6"/>
  <c r="P3" i="6"/>
  <c r="R12" i="5"/>
  <c r="Q7" i="6"/>
  <c r="Q8" i="6" s="1"/>
  <c r="Q4" i="5"/>
  <c r="M8" i="7"/>
  <c r="R3" i="5"/>
  <c r="M7" i="7"/>
  <c r="M6" i="7"/>
  <c r="S30" i="5" l="1"/>
  <c r="S29" i="5"/>
  <c r="M16" i="7"/>
  <c r="M17" i="7" s="1"/>
  <c r="S28" i="5"/>
  <c r="S9" i="5"/>
  <c r="P16" i="6"/>
  <c r="P17" i="6"/>
  <c r="P5" i="6"/>
  <c r="P14" i="6"/>
  <c r="Q3" i="6"/>
  <c r="S12" i="5"/>
  <c r="R7" i="6"/>
  <c r="R8" i="6" s="1"/>
  <c r="R4" i="5"/>
  <c r="N8" i="7"/>
  <c r="N6" i="7"/>
  <c r="N7" i="7"/>
  <c r="S3" i="5"/>
  <c r="T30" i="5" l="1"/>
  <c r="T29" i="5"/>
  <c r="N16" i="7"/>
  <c r="N17" i="7" s="1"/>
  <c r="T28" i="5"/>
  <c r="T9" i="5"/>
  <c r="Q16" i="6"/>
  <c r="Q17" i="6"/>
  <c r="Q14" i="6"/>
  <c r="Q5" i="6"/>
  <c r="R3" i="6"/>
  <c r="T12" i="5"/>
  <c r="S7" i="6"/>
  <c r="S8" i="6" s="1"/>
  <c r="S4" i="5"/>
  <c r="T3" i="5"/>
  <c r="O8" i="7"/>
  <c r="O6" i="7"/>
  <c r="O7" i="7"/>
  <c r="U30" i="5" l="1"/>
  <c r="U29" i="5"/>
  <c r="O16" i="7"/>
  <c r="O17" i="7" s="1"/>
  <c r="U28" i="5"/>
  <c r="U9" i="5"/>
  <c r="R17" i="6"/>
  <c r="R16" i="6"/>
  <c r="R14" i="6"/>
  <c r="R5" i="6"/>
  <c r="S3" i="6"/>
  <c r="U12" i="5"/>
  <c r="T7" i="6"/>
  <c r="T8" i="6" s="1"/>
  <c r="T4" i="5"/>
  <c r="P8" i="7"/>
  <c r="P7" i="7"/>
  <c r="P6" i="7"/>
  <c r="U3" i="5"/>
  <c r="V30" i="5" l="1"/>
  <c r="V29" i="5"/>
  <c r="P16" i="7"/>
  <c r="P17" i="7" s="1"/>
  <c r="V28" i="5"/>
  <c r="V9" i="5"/>
  <c r="W9" i="5" s="1"/>
  <c r="X9" i="5" s="1"/>
  <c r="Y9" i="5" s="1"/>
  <c r="Z9" i="5" s="1"/>
  <c r="AA9" i="5" s="1"/>
  <c r="AB9" i="5" s="1"/>
  <c r="S17" i="6"/>
  <c r="S16" i="6"/>
  <c r="S14" i="6"/>
  <c r="S5" i="6"/>
  <c r="T3" i="6"/>
  <c r="V12" i="5"/>
  <c r="W12" i="5" s="1"/>
  <c r="X12" i="5" s="1"/>
  <c r="Y12" i="5" s="1"/>
  <c r="Z12" i="5" s="1"/>
  <c r="AA12" i="5" s="1"/>
  <c r="AB12" i="5" s="1"/>
  <c r="U7" i="6"/>
  <c r="U8" i="6" s="1"/>
  <c r="U4" i="5"/>
  <c r="Q8" i="7"/>
  <c r="Q7" i="7"/>
  <c r="Q6" i="7"/>
  <c r="V3" i="5"/>
  <c r="W30" i="5" l="1"/>
  <c r="W29" i="5"/>
  <c r="Q16" i="7"/>
  <c r="Q17" i="7" s="1"/>
  <c r="W28" i="5"/>
  <c r="T17" i="6"/>
  <c r="T16" i="6"/>
  <c r="T14" i="6"/>
  <c r="T5" i="6"/>
  <c r="U3" i="6"/>
  <c r="V7" i="6"/>
  <c r="V4" i="5"/>
  <c r="R8" i="7"/>
  <c r="R7" i="7"/>
  <c r="W3" i="5"/>
  <c r="R6" i="7"/>
  <c r="X30" i="5" l="1"/>
  <c r="X29" i="5"/>
  <c r="W7" i="6"/>
  <c r="W8" i="6" s="1"/>
  <c r="R16" i="7"/>
  <c r="W4" i="5"/>
  <c r="X28" i="5"/>
  <c r="V8" i="6"/>
  <c r="U17" i="6"/>
  <c r="U16" i="6"/>
  <c r="U14" i="6"/>
  <c r="U5" i="6"/>
  <c r="V3" i="6"/>
  <c r="H12" i="6"/>
  <c r="S8" i="7"/>
  <c r="S7" i="7"/>
  <c r="X3" i="5"/>
  <c r="S6" i="7"/>
  <c r="Y30" i="5" l="1"/>
  <c r="Y29" i="5"/>
  <c r="S16" i="7"/>
  <c r="X7" i="6"/>
  <c r="X8" i="6" s="1"/>
  <c r="X4" i="5"/>
  <c r="R17" i="7"/>
  <c r="Y28" i="5"/>
  <c r="W3" i="6"/>
  <c r="X3" i="6" s="1"/>
  <c r="Y3" i="6" s="1"/>
  <c r="Z3" i="6" s="1"/>
  <c r="AA3" i="6" s="1"/>
  <c r="AB3" i="6" s="1"/>
  <c r="V17" i="6"/>
  <c r="W17" i="6" s="1"/>
  <c r="X17" i="6" s="1"/>
  <c r="Y17" i="6" s="1"/>
  <c r="Z17" i="6" s="1"/>
  <c r="AA17" i="6" s="1"/>
  <c r="AB17" i="6" s="1"/>
  <c r="AC17" i="6" s="1"/>
  <c r="V16" i="6"/>
  <c r="W16" i="6" s="1"/>
  <c r="X16" i="6" s="1"/>
  <c r="Y16" i="6" s="1"/>
  <c r="Z16" i="6" s="1"/>
  <c r="AA16" i="6" s="1"/>
  <c r="AB16" i="6" s="1"/>
  <c r="AC16" i="6" s="1"/>
  <c r="V14" i="6"/>
  <c r="W14" i="6" s="1"/>
  <c r="X14" i="6" s="1"/>
  <c r="Y14" i="6" s="1"/>
  <c r="Z14" i="6" s="1"/>
  <c r="AA14" i="6" s="1"/>
  <c r="AB14" i="6" s="1"/>
  <c r="AC14" i="6" s="1"/>
  <c r="V5" i="6"/>
  <c r="W5" i="6" s="1"/>
  <c r="X5" i="6" s="1"/>
  <c r="B12" i="6"/>
  <c r="G5" i="4" s="1"/>
  <c r="G21" i="6"/>
  <c r="B11" i="6"/>
  <c r="H9" i="6"/>
  <c r="I9" i="6" s="1"/>
  <c r="J9" i="6" s="1"/>
  <c r="K9" i="6" s="1"/>
  <c r="L9" i="6" s="1"/>
  <c r="G22" i="6"/>
  <c r="M9" i="6"/>
  <c r="N9" i="6" s="1"/>
  <c r="O9" i="6" s="1"/>
  <c r="P9" i="6" s="1"/>
  <c r="Q9" i="6" s="1"/>
  <c r="R9" i="6" s="1"/>
  <c r="S9" i="6" s="1"/>
  <c r="T9" i="6" s="1"/>
  <c r="U9" i="6" s="1"/>
  <c r="I12" i="6"/>
  <c r="T7" i="7"/>
  <c r="T6" i="7"/>
  <c r="Y3" i="5"/>
  <c r="T8" i="7"/>
  <c r="Z30" i="5" l="1"/>
  <c r="Z29" i="5"/>
  <c r="T16" i="7"/>
  <c r="Y7" i="6"/>
  <c r="Y8" i="6" s="1"/>
  <c r="Y4" i="5"/>
  <c r="Z28" i="5"/>
  <c r="S17" i="7"/>
  <c r="Y5" i="6"/>
  <c r="Z5" i="6" s="1"/>
  <c r="V9" i="6"/>
  <c r="W9" i="6" s="1"/>
  <c r="X9" i="6" s="1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U8" i="7"/>
  <c r="Z3" i="5"/>
  <c r="U7" i="7"/>
  <c r="U6" i="7"/>
  <c r="AA30" i="5" l="1"/>
  <c r="AA29" i="5"/>
  <c r="U16" i="7"/>
  <c r="Z7" i="6"/>
  <c r="Z8" i="6" s="1"/>
  <c r="Z4" i="5"/>
  <c r="T17" i="7"/>
  <c r="AA28" i="5"/>
  <c r="AA5" i="6"/>
  <c r="AB5" i="6" s="1"/>
  <c r="Y9" i="6"/>
  <c r="Z9" i="6" s="1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V6" i="7"/>
  <c r="V8" i="7"/>
  <c r="V7" i="7"/>
  <c r="AA3" i="5"/>
  <c r="B16" i="6"/>
  <c r="B22" i="6"/>
  <c r="AB30" i="5" l="1"/>
  <c r="AB29" i="5"/>
  <c r="AA7" i="6"/>
  <c r="AA8" i="6" s="1"/>
  <c r="V16" i="7"/>
  <c r="AA4" i="5"/>
  <c r="AB28" i="5"/>
  <c r="U17" i="7"/>
  <c r="V13" i="6"/>
  <c r="W12" i="6"/>
  <c r="X12" i="6" s="1"/>
  <c r="AC5" i="6"/>
  <c r="AA9" i="6"/>
  <c r="AB9" i="6" s="1"/>
  <c r="AC9" i="6" s="1"/>
  <c r="G9" i="6" s="1"/>
  <c r="B29" i="6" s="1"/>
  <c r="W8" i="7"/>
  <c r="W7" i="7"/>
  <c r="AB3" i="5"/>
  <c r="W6" i="7"/>
  <c r="B6" i="6"/>
  <c r="B7" i="6"/>
  <c r="B23" i="6"/>
  <c r="B24" i="6"/>
  <c r="B9" i="6"/>
  <c r="B17" i="6"/>
  <c r="B18" i="6"/>
  <c r="AC30" i="5" l="1"/>
  <c r="AC29" i="5"/>
  <c r="AB7" i="6"/>
  <c r="AB8" i="6" s="1"/>
  <c r="W16" i="7"/>
  <c r="W17" i="7" s="1"/>
  <c r="AB4" i="5"/>
  <c r="V17" i="7"/>
  <c r="AC28" i="5"/>
  <c r="Y12" i="6"/>
  <c r="X13" i="6"/>
  <c r="W13" i="6"/>
  <c r="A31" i="6"/>
  <c r="A32" i="6"/>
  <c r="B32" i="6"/>
  <c r="H10" i="6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X8" i="7"/>
  <c r="X7" i="7"/>
  <c r="AC3" i="5"/>
  <c r="X6" i="7"/>
  <c r="B19" i="6"/>
  <c r="B25" i="6"/>
  <c r="AC7" i="6" l="1"/>
  <c r="AC8" i="6" s="1"/>
  <c r="X16" i="7"/>
  <c r="X17" i="7" s="1"/>
  <c r="AC4" i="5"/>
  <c r="Z12" i="6"/>
  <c r="Y13" i="6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V10" i="6"/>
  <c r="W10" i="6" s="1"/>
  <c r="X10" i="6" s="1"/>
  <c r="Y10" i="6" s="1"/>
  <c r="Z10" i="6" s="1"/>
  <c r="AA10" i="6" s="1"/>
  <c r="AB10" i="6" s="1"/>
  <c r="AC10" i="6" s="1"/>
  <c r="AA12" i="6" l="1"/>
  <c r="Z13" i="6"/>
  <c r="AB12" i="6" l="1"/>
  <c r="AA13" i="6"/>
  <c r="AC12" i="6" l="1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5F53298A-B077-4F9D-92A1-B693278D5CF4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A1F5E3D0-1249-44AE-BA2B-219AA370D691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<sst xmlns="http://schemas.openxmlformats.org/spreadsheetml/2006/main" count="199" uniqueCount="135">
  <si>
    <t>Grey cells are calculated 
do not overwrite them</t>
  </si>
  <si>
    <t xml:space="preserve"> </t>
  </si>
  <si>
    <t>Sprint Team Information</t>
  </si>
  <si>
    <t># Work Days</t>
  </si>
  <si>
    <t>Ending Date</t>
  </si>
  <si>
    <t>Sprint Team Member Information</t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</si>
  <si>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</si>
  <si>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</si>
  <si>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</si>
  <si>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</si>
  <si>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</si>
  <si>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</si>
  <si>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</si>
  <si>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</si>
  <si>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</si>
  <si>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</si>
  <si>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</si>
  <si>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</si>
  <si>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</si>
  <si>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</si>
  <si>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</si>
  <si>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r>
      <t>(4)</t>
    </r>
    <r>
      <rPr>
        <b/>
        <sz val="10"/>
        <rFont val="Arial"/>
        <family val="2"/>
      </rPr>
      <t xml:space="preserve"> Work hours
in day</t>
    </r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</si>
  <si>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</si>
  <si>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</si>
  <si>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</si>
  <si>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</si>
  <si>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</si>
  <si>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</si>
  <si>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</si>
  <si>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</si>
  <si>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</si>
  <si>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</si>
  <si>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</si>
  <si>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</si>
  <si>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</si>
  <si>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</si>
  <si>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</si>
  <si>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</si>
  <si>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</si>
  <si>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</si>
  <si>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</si>
  <si>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Date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</si>
  <si>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</si>
  <si>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</si>
  <si>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</si>
  <si>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</si>
  <si>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</si>
  <si>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</si>
  <si>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</si>
  <si>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</si>
  <si>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</si>
  <si>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</si>
  <si>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</si>
  <si>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</si>
  <si>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</si>
  <si>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</si>
  <si>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</si>
  <si>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</si>
  <si>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</si>
  <si>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</si>
  <si>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</si>
  <si>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</si>
  <si>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</si>
  <si>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</si>
  <si>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</si>
  <si>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</si>
  <si>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</si>
  <si>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</si>
  <si>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</si>
  <si>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</si>
  <si>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</si>
  <si>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</si>
  <si>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</si>
  <si>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</si>
  <si>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</si>
  <si>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</si>
  <si>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</si>
  <si>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</si>
  <si>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</si>
  <si>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</si>
  <si>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</si>
  <si>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</si>
  <si>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</si>
  <si>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</si>
  <si>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</si>
  <si>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</si>
  <si>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</si>
  <si>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</si>
  <si>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Calendar Hours</t>
  </si>
  <si>
    <t>Day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</si>
  <si>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</si>
  <si>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</si>
  <si>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</si>
  <si>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</si>
  <si>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</si>
  <si>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</si>
  <si>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>&lt;Your Team Name Here&gt;</t>
  </si>
  <si>
    <t>Setup Machine</t>
  </si>
  <si>
    <t>create a class to handle machine set up</t>
  </si>
  <si>
    <t>JR</t>
  </si>
  <si>
    <t>add method to handle creation of csv files and information contained within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</si>
  <si>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</si>
  <si>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</si>
  <si>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</si>
  <si>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</si>
  <si>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AT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</si>
  <si>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</si>
  <si>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</si>
  <si>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</si>
  <si>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</si>
  <si>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EM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</si>
  <si>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</si>
  <si>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</si>
  <si>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</si>
  <si>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</si>
  <si>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</si>
  <si>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</si>
  <si>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</si>
  <si>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</si>
  <si>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</si>
  <si>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</si>
  <si>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</si>
  <si>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</si>
  <si>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</si>
  <si>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Testing</t>
  </si>
  <si>
    <t>James Ross</t>
  </si>
  <si>
    <t>Adam Thompson</t>
  </si>
  <si>
    <t>Evan McCullough</t>
  </si>
  <si>
    <t>Not Started</t>
  </si>
  <si>
    <t>Completed</t>
  </si>
  <si>
    <t>Item Type</t>
  </si>
  <si>
    <t>Create A Class item type to store detail about an item</t>
  </si>
  <si>
    <t>implement this into the machine</t>
  </si>
  <si>
    <t>Help Each Other</t>
  </si>
  <si>
    <t>Tidy OwnerMenu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</si>
</sst>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sz val="9"/>
      <color indexed="81"/>
      <name val="Tahoma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8"/>
      <color rgb="FF800000"/>
      <name val="Arial"/>
      <family val="2"/>
    </font>
    <font>
      <sz val="8"/>
      <color rgb="FF008000"/>
      <name val="Arial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31">
    <xf numFmtId="0" fontId="0" fillId="0" borderId="0" xfId="0"/>
    <xf numFmtId="0" fontId="6" fillId="0" borderId="0" xfId="38"/>
    <xf numFmtId="0" fontId="16" fillId="0" borderId="0" xfId="38" applyFont="1" applyFill="1" applyAlignment="1">
      <alignment horizontal="left" vertical="top"/>
    </xf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22" fillId="0" borderId="0" xfId="38" applyFont="1" applyFill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16" fillId="0" borderId="0" xfId="38" applyFont="1" applyFill="1" applyAlignment="1">
      <alignment horizontal="center" vertical="top"/>
    </xf>
    <xf numFmtId="0" fontId="6" fillId="0" borderId="0" xfId="38" applyFill="1"/>
    <xf numFmtId="0" fontId="29" fillId="0" borderId="10" xfId="38" applyFont="1" applyFill="1" applyBorder="1" applyAlignment="1" applyProtection="1">
      <alignment horizontal="center" vertical="center" wrapText="1"/>
      <protection locked="0"/>
    </xf>
    <xf numFmtId="0" fontId="29" fillId="0" borderId="11" xfId="38" applyFont="1" applyFill="1" applyBorder="1" applyAlignment="1" applyProtection="1">
      <alignment horizontal="center" vertical="center" wrapText="1"/>
      <protection locked="0"/>
    </xf>
    <xf numFmtId="0" fontId="30" fillId="0" borderId="1" xfId="38" applyFont="1" applyFill="1" applyBorder="1" applyAlignment="1" applyProtection="1">
      <alignment horizontal="center" vertical="center" wrapText="1"/>
      <protection locked="0"/>
    </xf>
    <xf numFmtId="0" fontId="30" fillId="0" borderId="12" xfId="38" applyFont="1" applyFill="1" applyBorder="1" applyAlignment="1" applyProtection="1">
      <alignment horizontal="center" vertical="center" wrapText="1"/>
      <protection locked="0"/>
    </xf>
    <xf numFmtId="0" fontId="29" fillId="0" borderId="1" xfId="38" applyFont="1" applyFill="1" applyBorder="1" applyAlignment="1" applyProtection="1">
      <alignment horizontal="center" vertical="center"/>
      <protection locked="0"/>
    </xf>
    <xf numFmtId="0" fontId="29" fillId="0" borderId="12" xfId="38" applyFont="1" applyFill="1" applyBorder="1" applyAlignment="1" applyProtection="1">
      <alignment horizontal="center" vertical="center"/>
      <protection locked="0"/>
    </xf>
    <xf numFmtId="9" fontId="29" fillId="0" borderId="13" xfId="38" applyNumberFormat="1" applyFont="1" applyFill="1" applyBorder="1" applyAlignment="1" applyProtection="1">
      <alignment horizontal="center" vertical="center"/>
      <protection locked="0"/>
    </xf>
    <xf numFmtId="9" fontId="29" fillId="0" borderId="14" xfId="38" applyNumberFormat="1" applyFont="1" applyFill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17" fillId="0" borderId="0" xfId="38" applyFont="1" applyFill="1"/>
    <xf numFmtId="0" fontId="17" fillId="24" borderId="17" xfId="38" applyFont="1" applyFill="1" applyBorder="1" applyAlignment="1"/>
    <xf numFmtId="0" fontId="17" fillId="24" borderId="18" xfId="38" applyFont="1" applyFill="1" applyBorder="1"/>
    <xf numFmtId="0" fontId="29" fillId="24" borderId="18" xfId="38" applyNumberFormat="1" applyFont="1" applyFill="1" applyBorder="1" applyAlignment="1">
      <alignment horizontal="center"/>
    </xf>
    <xf numFmtId="0" fontId="29" fillId="24" borderId="19" xfId="38" applyNumberFormat="1" applyFont="1" applyFill="1" applyBorder="1" applyAlignment="1">
      <alignment horizontal="center"/>
    </xf>
    <xf numFmtId="0" fontId="29" fillId="24" borderId="20" xfId="39" applyNumberFormat="1" applyFont="1" applyFill="1" applyBorder="1" applyAlignment="1" applyProtection="1">
      <alignment horizontal="right" indent="1"/>
    </xf>
    <xf numFmtId="166" fontId="29" fillId="24" borderId="21" xfId="39" applyNumberFormat="1" applyFont="1" applyFill="1" applyBorder="1" applyAlignment="1" applyProtection="1">
      <alignment horizontal="right" indent="1"/>
    </xf>
    <xf numFmtId="0" fontId="29" fillId="24" borderId="23" xfId="39" applyNumberFormat="1" applyFont="1" applyFill="1" applyBorder="1" applyAlignment="1" applyProtection="1">
      <alignment horizontal="right" indent="1"/>
    </xf>
    <xf numFmtId="166" fontId="29" fillId="24" borderId="1" xfId="39" applyNumberFormat="1" applyFont="1" applyFill="1" applyBorder="1" applyAlignment="1" applyProtection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164" fontId="17" fillId="0" borderId="0" xfId="38" applyNumberFormat="1" applyFont="1" applyFill="1"/>
    <xf numFmtId="0" fontId="6" fillId="24" borderId="0" xfId="38" applyFill="1" applyAlignment="1"/>
    <xf numFmtId="0" fontId="17" fillId="24" borderId="0" xfId="38" applyFont="1" applyFill="1"/>
    <xf numFmtId="0" fontId="12" fillId="24" borderId="0" xfId="34" applyFill="1" applyAlignment="1" applyProtection="1"/>
    <xf numFmtId="0" fontId="17" fillId="24" borderId="0" xfId="38" applyFont="1" applyFill="1" applyAlignment="1"/>
    <xf numFmtId="0" fontId="39" fillId="24" borderId="30" xfId="39" applyFont="1" applyFill="1" applyBorder="1" applyAlignment="1" applyProtection="1">
      <alignment horizontal="center" wrapText="1"/>
    </xf>
    <xf numFmtId="0" fontId="40" fillId="24" borderId="30" xfId="39" applyFont="1" applyFill="1" applyBorder="1" applyAlignment="1" applyProtection="1">
      <alignment horizontal="center"/>
    </xf>
    <xf numFmtId="166" fontId="41" fillId="25" borderId="30" xfId="38" applyNumberFormat="1" applyFont="1" applyFill="1" applyBorder="1" applyAlignment="1" applyProtection="1">
      <alignment vertical="top" wrapText="1"/>
    </xf>
    <xf numFmtId="166" fontId="41" fillId="25" borderId="30" xfId="38" applyNumberFormat="1" applyFont="1" applyFill="1" applyBorder="1" applyAlignment="1" applyProtection="1">
      <alignment horizontal="center" vertical="top" wrapText="1"/>
    </xf>
    <xf numFmtId="166" fontId="41" fillId="25" borderId="31" xfId="38" applyNumberFormat="1" applyFont="1" applyFill="1" applyBorder="1" applyAlignment="1" applyProtection="1">
      <alignment horizontal="center" vertical="top" wrapText="1"/>
    </xf>
    <xf numFmtId="166" fontId="41" fillId="25" borderId="32" xfId="38" applyNumberFormat="1" applyFont="1" applyFill="1" applyBorder="1" applyAlignment="1" applyProtection="1">
      <alignment horizontal="center" vertical="top" wrapText="1"/>
    </xf>
    <xf numFmtId="166" fontId="17" fillId="24" borderId="33" xfId="39" applyNumberFormat="1" applyFont="1" applyFill="1" applyBorder="1" applyAlignment="1" applyProtection="1">
      <alignment horizontal="left" textRotation="90" wrapText="1"/>
    </xf>
    <xf numFmtId="0" fontId="42" fillId="25" borderId="30" xfId="38" applyFont="1" applyFill="1" applyBorder="1" applyAlignment="1" applyProtection="1">
      <alignment horizontal="center" vertical="center" wrapText="1"/>
    </xf>
    <xf numFmtId="1" fontId="44" fillId="25" borderId="34" xfId="39" applyNumberFormat="1" applyFont="1" applyFill="1" applyBorder="1" applyAlignment="1" applyProtection="1">
      <alignment horizontal="center" textRotation="90" wrapText="1"/>
    </xf>
    <xf numFmtId="177" fontId="17" fillId="24" borderId="30" xfId="39" applyNumberFormat="1" applyFont="1" applyFill="1" applyBorder="1" applyAlignment="1" applyProtection="1">
      <alignment horizontal="left" textRotation="90" wrapText="1"/>
    </xf>
    <xf numFmtId="177" fontId="22" fillId="24" borderId="33" xfId="39" applyNumberFormat="1" applyFont="1" applyFill="1" applyBorder="1" applyAlignment="1" applyProtection="1">
      <alignment horizontal="center" vertical="top"/>
    </xf>
    <xf numFmtId="0" fontId="22" fillId="0" borderId="0" xfId="39" applyFont="1" applyFill="1" applyBorder="1" applyAlignment="1" applyProtection="1">
      <alignment vertical="top" wrapText="1"/>
    </xf>
    <xf numFmtId="0" fontId="48" fillId="0" borderId="0" xfId="39" applyFont="1" applyFill="1" applyBorder="1" applyAlignment="1" applyProtection="1">
      <alignment vertical="top"/>
    </xf>
    <xf numFmtId="166" fontId="48" fillId="0" borderId="0" xfId="39" applyNumberFormat="1" applyFont="1" applyFill="1" applyBorder="1" applyAlignment="1" applyProtection="1">
      <alignment horizontal="center" vertical="center" wrapText="1"/>
    </xf>
    <xf numFmtId="170" fontId="22" fillId="0" borderId="0" xfId="39" applyNumberFormat="1" applyFont="1" applyFill="1" applyBorder="1" applyAlignment="1" applyProtection="1">
      <alignment horizontal="right" vertical="top" wrapText="1"/>
    </xf>
    <xf numFmtId="167" fontId="48" fillId="0" borderId="0" xfId="39" applyNumberFormat="1" applyFont="1" applyFill="1" applyBorder="1" applyAlignment="1" applyProtection="1">
      <alignment horizontal="center" vertical="top"/>
    </xf>
    <xf numFmtId="169" fontId="22" fillId="0" borderId="0" xfId="39" applyNumberFormat="1" applyFont="1" applyFill="1" applyBorder="1" applyAlignment="1" applyProtection="1">
      <alignment horizontal="center" vertical="top"/>
    </xf>
    <xf numFmtId="172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 wrapText="1"/>
    </xf>
    <xf numFmtId="0" fontId="22" fillId="0" borderId="0" xfId="39" applyFont="1" applyFill="1" applyBorder="1" applyAlignment="1" applyProtection="1">
      <alignment horizontal="right" vertical="top" wrapText="1"/>
    </xf>
    <xf numFmtId="167" fontId="22" fillId="0" borderId="0" xfId="39" applyNumberFormat="1" applyFont="1" applyFill="1" applyBorder="1" applyAlignment="1" applyProtection="1">
      <alignment horizontal="center" vertical="top"/>
    </xf>
    <xf numFmtId="174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/>
    </xf>
    <xf numFmtId="171" fontId="22" fillId="0" borderId="0" xfId="39" applyNumberFormat="1" applyFont="1" applyFill="1" applyBorder="1" applyAlignment="1" applyProtection="1">
      <alignment vertical="top" wrapText="1"/>
    </xf>
    <xf numFmtId="0" fontId="22" fillId="0" borderId="0" xfId="39" applyNumberFormat="1" applyFont="1" applyFill="1" applyBorder="1" applyAlignment="1" applyProtection="1">
      <alignment horizontal="right" vertical="top" wrapText="1"/>
    </xf>
    <xf numFmtId="165" fontId="22" fillId="0" borderId="0" xfId="39" applyNumberFormat="1" applyFont="1" applyFill="1" applyBorder="1" applyAlignment="1" applyProtection="1">
      <alignment vertical="top" wrapText="1"/>
    </xf>
    <xf numFmtId="1" fontId="22" fillId="0" borderId="0" xfId="39" applyNumberFormat="1" applyFont="1" applyFill="1" applyBorder="1" applyAlignment="1" applyProtection="1">
      <alignment horizontal="center" vertical="top"/>
    </xf>
    <xf numFmtId="0" fontId="48" fillId="0" borderId="0" xfId="39" applyFont="1" applyFill="1" applyBorder="1" applyAlignment="1" applyProtection="1">
      <alignment vertical="top" wrapText="1"/>
    </xf>
    <xf numFmtId="0" fontId="48" fillId="0" borderId="0" xfId="39" quotePrefix="1" applyFont="1" applyFill="1" applyBorder="1" applyAlignment="1" applyProtection="1">
      <alignment vertical="top"/>
    </xf>
    <xf numFmtId="0" fontId="48" fillId="0" borderId="0" xfId="39" quotePrefix="1" applyFont="1" applyFill="1" applyBorder="1" applyAlignment="1" applyProtection="1">
      <alignment vertical="top" wrapText="1"/>
    </xf>
    <xf numFmtId="0" fontId="29" fillId="0" borderId="0" xfId="0" applyFont="1" applyFill="1" applyBorder="1" applyAlignment="1"/>
    <xf numFmtId="0" fontId="22" fillId="0" borderId="0" xfId="0" applyFont="1" applyFill="1" applyBorder="1" applyAlignment="1">
      <alignment wrapText="1"/>
    </xf>
    <xf numFmtId="0" fontId="22" fillId="0" borderId="0" xfId="0" applyFont="1" applyFill="1" applyBorder="1"/>
    <xf numFmtId="166" fontId="47" fillId="0" borderId="0" xfId="0" applyNumberFormat="1" applyFont="1" applyFill="1" applyBorder="1" applyAlignment="1">
      <alignment horizontal="center" vertical="center" wrapText="1"/>
    </xf>
    <xf numFmtId="0" fontId="22" fillId="24" borderId="0" xfId="0" applyFont="1" applyFill="1" applyBorder="1" applyAlignment="1">
      <alignment vertical="top" wrapText="1"/>
    </xf>
    <xf numFmtId="0" fontId="22" fillId="0" borderId="0" xfId="0" applyFont="1" applyFill="1" applyBorder="1" applyAlignment="1">
      <alignment vertical="center" wrapText="1"/>
    </xf>
    <xf numFmtId="166" fontId="22" fillId="0" borderId="0" xfId="0" applyNumberFormat="1" applyFont="1" applyFill="1" applyBorder="1" applyAlignment="1">
      <alignment vertical="center" wrapText="1"/>
    </xf>
    <xf numFmtId="0" fontId="48" fillId="0" borderId="0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>
      <alignment horizontal="center" wrapText="1"/>
    </xf>
    <xf numFmtId="0" fontId="22" fillId="0" borderId="0" xfId="0" applyFont="1" applyFill="1" applyBorder="1" applyAlignment="1" applyProtection="1">
      <alignment horizontal="center" wrapText="1"/>
    </xf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48" fillId="0" borderId="0" xfId="0" applyFont="1" applyFill="1" applyBorder="1" applyAlignment="1">
      <alignment vertical="center" wrapText="1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 applyProtection="1">
      <alignment horizontal="center" vertical="top"/>
    </xf>
    <xf numFmtId="0" fontId="48" fillId="0" borderId="0" xfId="0" applyFont="1" applyFill="1" applyBorder="1"/>
    <xf numFmtId="167" fontId="48" fillId="0" borderId="0" xfId="0" applyNumberFormat="1" applyFont="1" applyFill="1" applyBorder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 applyFill="1" applyBorder="1"/>
    <xf numFmtId="0" fontId="48" fillId="0" borderId="0" xfId="0" applyFont="1"/>
    <xf numFmtId="40" fontId="48" fillId="0" borderId="0" xfId="0" applyNumberFormat="1" applyFont="1"/>
    <xf numFmtId="0" fontId="48" fillId="0" borderId="0" xfId="0" applyFont="1" applyFill="1" applyBorder="1" applyProtection="1"/>
    <xf numFmtId="175" fontId="22" fillId="0" borderId="0" xfId="0" applyNumberFormat="1" applyFont="1" applyFill="1" applyBorder="1" applyAlignment="1" applyProtection="1">
      <alignment horizontal="right"/>
    </xf>
    <xf numFmtId="173" fontId="22" fillId="0" borderId="0" xfId="0" applyNumberFormat="1" applyFont="1" applyFill="1" applyBorder="1" applyAlignment="1" applyProtection="1">
      <alignment horizontal="right"/>
    </xf>
    <xf numFmtId="0" fontId="22" fillId="0" borderId="0" xfId="0" applyFont="1"/>
    <xf numFmtId="0" fontId="22" fillId="0" borderId="0" xfId="0" applyFont="1" applyAlignment="1">
      <alignment horizontal="right"/>
    </xf>
    <xf numFmtId="174" fontId="22" fillId="0" borderId="0" xfId="0" applyNumberFormat="1" applyFont="1" applyFill="1" applyBorder="1" applyAlignment="1">
      <alignment horizontal="right"/>
    </xf>
    <xf numFmtId="0" fontId="49" fillId="0" borderId="0" xfId="0" applyFont="1" applyFill="1" applyBorder="1"/>
    <xf numFmtId="0" fontId="48" fillId="0" borderId="35" xfId="0" applyFont="1" applyFill="1" applyBorder="1" applyAlignment="1" applyProtection="1">
      <alignment horizontal="center"/>
    </xf>
    <xf numFmtId="0" fontId="50" fillId="27" borderId="0" xfId="0" applyFont="1" applyFill="1" applyBorder="1" applyProtection="1"/>
    <xf numFmtId="0" fontId="50" fillId="28" borderId="0" xfId="0" applyFont="1" applyFill="1" applyBorder="1" applyProtection="1"/>
    <xf numFmtId="10" fontId="50" fillId="28" borderId="0" xfId="0" applyNumberFormat="1" applyFont="1" applyFill="1" applyBorder="1" applyProtection="1"/>
    <xf numFmtId="0" fontId="50" fillId="29" borderId="0" xfId="0" applyFont="1" applyFill="1" applyBorder="1" applyProtection="1"/>
    <xf numFmtId="10" fontId="50" fillId="29" borderId="0" xfId="0" applyNumberFormat="1" applyFont="1" applyFill="1" applyBorder="1" applyProtection="1"/>
    <xf numFmtId="0" fontId="50" fillId="30" borderId="36" xfId="0" applyFont="1" applyFill="1" applyBorder="1" applyProtection="1"/>
    <xf numFmtId="10" fontId="50" fillId="30" borderId="36" xfId="0" applyNumberFormat="1" applyFont="1" applyFill="1" applyBorder="1" applyProtection="1"/>
    <xf numFmtId="0" fontId="22" fillId="0" borderId="0" xfId="0" applyFont="1" applyFill="1" applyBorder="1" applyProtection="1"/>
    <xf numFmtId="0" fontId="22" fillId="0" borderId="0" xfId="0" applyFont="1" applyFill="1" applyBorder="1" applyAlignment="1">
      <alignment vertical="top"/>
    </xf>
    <xf numFmtId="0" fontId="22" fillId="0" borderId="36" xfId="0" applyFont="1" applyFill="1" applyBorder="1"/>
    <xf numFmtId="9" fontId="22" fillId="0" borderId="0" xfId="0" applyNumberFormat="1" applyFont="1"/>
    <xf numFmtId="0" fontId="22" fillId="0" borderId="0" xfId="0" applyFont="1" applyAlignment="1">
      <alignment wrapText="1"/>
    </xf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NumberFormat="1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66" fontId="17" fillId="24" borderId="15" xfId="39" applyNumberFormat="1" applyFont="1" applyFill="1" applyBorder="1" applyAlignment="1">
      <alignment horizontal="center" vertical="center" textRotation="90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17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0" fillId="0" borderId="0" xfId="0" applyFill="1"/>
    <xf numFmtId="0" fontId="55" fillId="26" borderId="30" xfId="39" applyFont="1" applyFill="1" applyBorder="1" applyAlignment="1" applyProtection="1">
      <alignment vertical="top"/>
    </xf>
    <xf numFmtId="0" fontId="57" fillId="26" borderId="30" xfId="39" applyFont="1" applyFill="1" applyBorder="1" applyAlignment="1" applyProtection="1">
      <alignment vertical="top" wrapText="1"/>
    </xf>
    <xf numFmtId="164" fontId="6" fillId="0" borderId="1" xfId="38" applyNumberFormat="1" applyFont="1" applyFill="1" applyBorder="1" applyAlignment="1" applyProtection="1">
      <alignment horizontal="center"/>
      <protection locked="0"/>
    </xf>
    <xf numFmtId="164" fontId="6" fillId="0" borderId="22" xfId="38" applyNumberFormat="1" applyFont="1" applyFill="1" applyBorder="1" applyAlignment="1" applyProtection="1">
      <alignment horizontal="center"/>
      <protection locked="0"/>
    </xf>
    <xf numFmtId="164" fontId="6" fillId="0" borderId="21" xfId="38" applyNumberFormat="1" applyFont="1" applyFill="1" applyBorder="1" applyAlignment="1" applyProtection="1">
      <alignment horizontal="center"/>
      <protection locked="0"/>
    </xf>
    <xf numFmtId="164" fontId="6" fillId="0" borderId="56" xfId="38" applyNumberFormat="1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167" fontId="0" fillId="0" borderId="0" xfId="0" applyNumberFormat="1"/>
    <xf numFmtId="164" fontId="29" fillId="0" borderId="21" xfId="38" applyNumberFormat="1" applyFont="1" applyFill="1" applyBorder="1" applyAlignment="1" applyProtection="1">
      <alignment horizontal="center"/>
      <protection locked="0"/>
    </xf>
    <xf numFmtId="164" fontId="29" fillId="0" borderId="1" xfId="38" applyNumberFormat="1" applyFont="1" applyFill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32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wrapText="1"/>
    </xf>
    <xf numFmtId="0" fontId="6" fillId="28" borderId="0" xfId="38" applyFill="1"/>
    <xf numFmtId="0" fontId="59" fillId="0" borderId="0" xfId="39" applyFont="1" applyFill="1" applyBorder="1" applyAlignment="1" applyProtection="1">
      <alignment horizontal="right" vertical="top" wrapText="1"/>
    </xf>
    <xf numFmtId="170" fontId="59" fillId="0" borderId="0" xfId="39" quotePrefix="1" applyNumberFormat="1" applyFont="1" applyFill="1" applyBorder="1" applyAlignment="1" applyProtection="1">
      <alignment horizontal="right" vertical="top" wrapText="1"/>
    </xf>
    <xf numFmtId="0" fontId="60" fillId="0" borderId="0" xfId="39" applyFont="1" applyFill="1" applyBorder="1" applyAlignment="1" applyProtection="1">
      <alignment horizontal="right" vertical="top" wrapText="1"/>
    </xf>
    <xf numFmtId="170" fontId="60" fillId="0" borderId="0" xfId="39" quotePrefix="1" applyNumberFormat="1" applyFont="1" applyFill="1" applyBorder="1" applyAlignment="1" applyProtection="1">
      <alignment horizontal="right" vertical="top" wrapText="1"/>
    </xf>
    <xf numFmtId="0" fontId="25" fillId="31" borderId="45" xfId="38" applyNumberFormat="1" applyFont="1" applyFill="1" applyBorder="1" applyAlignment="1">
      <alignment horizontal="center" vertical="top" wrapText="1"/>
    </xf>
    <xf numFmtId="0" fontId="23" fillId="31" borderId="46" xfId="38" applyNumberFormat="1" applyFont="1" applyFill="1" applyBorder="1" applyAlignment="1">
      <alignment horizontal="center" vertical="top" wrapText="1"/>
    </xf>
    <xf numFmtId="0" fontId="23" fillId="31" borderId="47" xfId="38" applyNumberFormat="1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NumberFormat="1" applyFont="1" applyFill="1" applyAlignment="1">
      <alignment horizontal="left" vertical="top" wrapText="1"/>
    </xf>
    <xf numFmtId="0" fontId="26" fillId="0" borderId="52" xfId="38" applyNumberFormat="1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5" xfId="38" applyFont="1" applyFill="1" applyBorder="1" applyAlignment="1">
      <alignment horizontal="center" vertical="top" wrapText="1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Fill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25" fillId="0" borderId="13" xfId="38" applyFont="1" applyBorder="1" applyAlignment="1" applyProtection="1">
      <alignment horizontal="center" vertical="center"/>
      <protection locked="0"/>
    </xf>
    <xf numFmtId="0" fontId="35" fillId="0" borderId="0" xfId="38" applyFont="1" applyFill="1" applyBorder="1" applyAlignment="1">
      <alignment horizontal="center"/>
    </xf>
    <xf numFmtId="0" fontId="0" fillId="0" borderId="0" xfId="0" applyBorder="1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NumberFormat="1" applyFont="1" applyFill="1" applyBorder="1" applyAlignment="1" applyProtection="1">
      <alignment horizontal="left" vertical="center"/>
      <protection locked="0"/>
    </xf>
    <xf numFmtId="0" fontId="25" fillId="0" borderId="54" xfId="38" applyNumberFormat="1" applyFont="1" applyFill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NumberFormat="1" applyFont="1" applyFill="1" applyBorder="1" applyAlignment="1" applyProtection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Fill="1" applyBorder="1" applyAlignment="1" applyProtection="1">
      <alignment horizontal="center" vertical="center"/>
      <protection locked="0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 applyProtection="1">
      <alignment horizontal="right" wrapText="1"/>
    </xf>
    <xf numFmtId="0" fontId="43" fillId="25" borderId="35" xfId="38" applyFont="1" applyFill="1" applyBorder="1" applyAlignment="1" applyProtection="1">
      <alignment horizontal="right" wrapText="1"/>
    </xf>
    <xf numFmtId="0" fontId="43" fillId="25" borderId="55" xfId="38" applyFont="1" applyFill="1" applyBorder="1" applyAlignment="1" applyProtection="1">
      <alignment horizontal="right" wrapText="1"/>
    </xf>
    <xf numFmtId="0" fontId="23" fillId="24" borderId="34" xfId="38" applyFont="1" applyFill="1" applyBorder="1" applyAlignment="1" applyProtection="1">
      <alignment horizontal="left" vertical="center" wrapText="1"/>
    </xf>
    <xf numFmtId="0" fontId="23" fillId="24" borderId="35" xfId="38" applyFont="1" applyFill="1" applyBorder="1" applyAlignment="1" applyProtection="1">
      <alignment horizontal="left" vertical="center" wrapText="1"/>
    </xf>
    <xf numFmtId="0" fontId="38" fillId="24" borderId="35" xfId="39" applyFont="1" applyFill="1" applyBorder="1" applyAlignment="1" applyProtection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Fill="1" applyBorder="1" applyAlignment="1" applyProtection="1">
      <alignment horizontal="center"/>
    </xf>
    <xf numFmtId="0" fontId="48" fillId="0" borderId="35" xfId="0" applyFont="1" applyFill="1" applyBorder="1" applyAlignment="1">
      <alignment horizontal="center"/>
    </xf>
    <xf numFmtId="0" fontId="16" fillId="0" borderId="0" xfId="0" applyFont="1" applyFill="1" applyAlignment="1">
      <alignment horizont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&lt;Your Team Name Here&gt;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59</c:v>
                </c:pt>
                <c:pt idx="10">
                  <c:v>59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59</c:v>
                </c:pt>
                <c:pt idx="15">
                  <c:v>59</c:v>
                </c:pt>
                <c:pt idx="1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10</c:v>
                </c:pt>
                <c:pt idx="15">
                  <c:v>4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7"/>
                <c:pt idx="0">
                  <c:v>60</c:v>
                </c:pt>
                <c:pt idx="1">
                  <c:v>59.833333333333336</c:v>
                </c:pt>
                <c:pt idx="2">
                  <c:v>59.666666666666671</c:v>
                </c:pt>
                <c:pt idx="3">
                  <c:v>59.500000000000007</c:v>
                </c:pt>
                <c:pt idx="4">
                  <c:v>59.333333333333343</c:v>
                </c:pt>
                <c:pt idx="5">
                  <c:v>59.166666666666679</c:v>
                </c:pt>
                <c:pt idx="6">
                  <c:v>59.000000000000014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7"/>
                <c:pt idx="6">
                  <c:v>59</c:v>
                </c:pt>
                <c:pt idx="7">
                  <c:v>58.83333332836628</c:v>
                </c:pt>
                <c:pt idx="8">
                  <c:v>58.666666656732559</c:v>
                </c:pt>
                <c:pt idx="9">
                  <c:v>58.499999985098839</c:v>
                </c:pt>
                <c:pt idx="10">
                  <c:v>58.333333313465118</c:v>
                </c:pt>
                <c:pt idx="11">
                  <c:v>58.166666641831398</c:v>
                </c:pt>
                <c:pt idx="12">
                  <c:v>57.999999970197678</c:v>
                </c:pt>
                <c:pt idx="13">
                  <c:v>57.833333298563957</c:v>
                </c:pt>
                <c:pt idx="14">
                  <c:v>57.666666626930237</c:v>
                </c:pt>
                <c:pt idx="15">
                  <c:v>57.499999955296516</c:v>
                </c:pt>
                <c:pt idx="16">
                  <c:v>57.333333283662796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7"/>
                <c:pt idx="6">
                  <c:v>59</c:v>
                </c:pt>
                <c:pt idx="7">
                  <c:v>53.099999904632568</c:v>
                </c:pt>
                <c:pt idx="8">
                  <c:v>47.199999809265137</c:v>
                </c:pt>
                <c:pt idx="9">
                  <c:v>41.299999713897705</c:v>
                </c:pt>
                <c:pt idx="10">
                  <c:v>35.399999618530273</c:v>
                </c:pt>
                <c:pt idx="11">
                  <c:v>29.499999523162842</c:v>
                </c:pt>
                <c:pt idx="12">
                  <c:v>23.59999942779541</c:v>
                </c:pt>
                <c:pt idx="13">
                  <c:v>17.699999332427979</c:v>
                </c:pt>
                <c:pt idx="14">
                  <c:v>11.799999237060547</c:v>
                </c:pt>
                <c:pt idx="15">
                  <c:v>5.8999991416931152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7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903917284789486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26" name="CurrentDate">
          <a:extLst xmlns:a="http://schemas.openxmlformats.org/drawingml/2006/main">
            <a:ext uri="{FF2B5EF4-FFF2-40B4-BE49-F238E27FC236}">
              <a16:creationId xmlns:a16="http://schemas.microsoft.com/office/drawing/2014/main" id="{77005A7C-BA6E-4DBF-A787-04DB45200C47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Mar 23,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27" name="PlannedEndDate">
          <a:extLst xmlns:a="http://schemas.openxmlformats.org/drawingml/2006/main">
            <a:ext uri="{FF2B5EF4-FFF2-40B4-BE49-F238E27FC236}">
              <a16:creationId xmlns:a16="http://schemas.microsoft.com/office/drawing/2014/main" id="{2ED4B2F7-89AD-4DB3-94DE-ADBFA198273D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28" name="TrendingEndDate">
          <a:extLst xmlns:a="http://schemas.openxmlformats.org/drawingml/2006/main">
            <a:ext uri="{FF2B5EF4-FFF2-40B4-BE49-F238E27FC236}">
              <a16:creationId xmlns:a16="http://schemas.microsoft.com/office/drawing/2014/main" id="{3272ED34-28DA-4204-A939-8A7A9C5E931D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Thu Mar 16, 2023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29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AB820A7D-3AA5-469F-94E8-980E44E2937B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-2150.00%</a:t>
          </a: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30" name="TrendingVariance">
          <a:extLst xmlns:a="http://schemas.openxmlformats.org/drawingml/2006/main">
            <a:ext uri="{FF2B5EF4-FFF2-40B4-BE49-F238E27FC236}">
              <a16:creationId xmlns:a16="http://schemas.microsoft.com/office/drawing/2014/main" id="{98DB2599-C62F-4112-A2EC-51963CCFA611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344 days</a:t>
          </a: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31" name="OptimisticEndDate">
          <a:extLst xmlns:a="http://schemas.openxmlformats.org/drawingml/2006/main">
            <a:ext uri="{FF2B5EF4-FFF2-40B4-BE49-F238E27FC236}">
              <a16:creationId xmlns:a16="http://schemas.microsoft.com/office/drawing/2014/main" id="{98676B15-4EB3-4360-ACB7-05E87E665C2C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32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78314DEB-C878-4335-963C-C9131E70E9E6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33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02E86E03-9899-4639-9659-11E756C105BF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30</xdr:col>
      <xdr:colOff>167639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731519</xdr:colOff>
      <xdr:row>60</xdr:row>
      <xdr:rowOff>0</xdr:rowOff>
    </xdr:to>
    <xdr:sp macro="" textlink="">
      <xdr:nvSpPr>
        <xdr:cNvPr id="2" name="uixToTurnOnMacrosWarningLabel">
          <a:extLst>
            <a:ext uri="{FF2B5EF4-FFF2-40B4-BE49-F238E27FC236}">
              <a16:creationId xmlns:a16="http://schemas.microsoft.com/office/drawing/2014/main" id="{1F52B527-EBEC-44AE-8D5B-EC7EFF5B41CA}"/>
            </a:ext>
          </a:extLst>
        </xdr:cNvPr>
        <xdr:cNvSpPr txBox="1"/>
      </xdr:nvSpPr>
      <xdr:spPr>
        <a:xfrm>
          <a:off x="0" y="0"/>
          <a:ext cx="32072579" cy="11833860"/>
        </a:xfrm>
        <a:prstGeom prst="rect">
          <a:avLst/>
        </a:prstGeom>
        <a:solidFill>
          <a:srgbClr val="FFFF99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t">
          <a:noAutofit/>
        </a:bodyPr>
        <a:lstStyle/>
        <a:p>
          <a:endParaRPr lang="en-GB" sz="2400" b="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T51"/>
  <sheetViews>
    <sheetView topLeftCell="A22" workbookViewId="0">
      <selection activeCell="B56" sqref="B56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20" ht="37.5" customHeight="1" thickTop="1" thickBot="1" x14ac:dyDescent="0.25">
      <c r="A1" s="182" t="str">
        <f>[0]!WorksheetTitlePlanning</f>
        <v>&lt;Your Team Name Here&gt;
Planning Worksheet -- Embrace Reality</v>
      </c>
      <c r="B1" s="182"/>
      <c r="C1" s="182"/>
      <c r="D1" s="182"/>
      <c r="E1" s="182"/>
      <c r="F1" s="173" t="s">
        <v>17</v>
      </c>
      <c r="G1" s="174"/>
      <c r="H1" s="175"/>
      <c r="I1" s="185" t="s">
        <v>0</v>
      </c>
      <c r="J1" s="186"/>
      <c r="K1" s="186"/>
      <c r="L1" s="187"/>
    </row>
    <row r="2" spans="1:20" ht="12" customHeight="1" thickTop="1" x14ac:dyDescent="0.2">
      <c r="A2" s="2" t="s">
        <v>1</v>
      </c>
      <c r="B2" s="3"/>
      <c r="C2" s="4"/>
      <c r="D2" s="5"/>
      <c r="E2" s="5"/>
      <c r="F2" s="5"/>
      <c r="G2" s="5"/>
      <c r="H2" s="5"/>
      <c r="I2" s="5"/>
      <c r="J2" s="5"/>
      <c r="K2" s="5"/>
      <c r="L2" s="5"/>
    </row>
    <row r="3" spans="1:20" ht="18" customHeight="1" thickBot="1" x14ac:dyDescent="0.25">
      <c r="A3" s="183" t="s">
        <v>2</v>
      </c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</row>
    <row r="4" spans="1:20" ht="30" customHeight="1" x14ac:dyDescent="0.2">
      <c r="A4" s="214" t="s">
        <v>18</v>
      </c>
      <c r="B4" s="215"/>
      <c r="C4" s="212" t="s">
        <v>19</v>
      </c>
      <c r="D4" s="213"/>
      <c r="E4" s="188" t="s">
        <v>20</v>
      </c>
      <c r="F4" s="198"/>
      <c r="G4" s="197" t="s">
        <v>3</v>
      </c>
      <c r="H4" s="197"/>
      <c r="I4" s="184" t="s">
        <v>4</v>
      </c>
      <c r="J4" s="184"/>
      <c r="K4" s="188" t="s">
        <v>21</v>
      </c>
      <c r="L4" s="189"/>
    </row>
    <row r="5" spans="1:20" ht="18" customHeight="1" thickBot="1" x14ac:dyDescent="0.25">
      <c r="A5" s="201" t="s">
        <v>96</v>
      </c>
      <c r="B5" s="202"/>
      <c r="C5" s="216">
        <v>44636</v>
      </c>
      <c r="D5" s="217"/>
      <c r="E5" s="190">
        <v>22</v>
      </c>
      <c r="F5" s="192"/>
      <c r="G5" s="209">
        <f>[0]!NumberOfWorkingDaysInSprint</f>
        <v>16</v>
      </c>
      <c r="H5" s="209"/>
      <c r="I5" s="196">
        <f xml:space="preserve"> ( [0]!SprintStartDate - 1 ) + [0]!NumberOfCalendarDaysInSprint</f>
        <v>44657</v>
      </c>
      <c r="J5" s="196"/>
      <c r="K5" s="190">
        <v>3</v>
      </c>
      <c r="L5" s="191"/>
    </row>
    <row r="6" spans="1:20" ht="12" customHeight="1" x14ac:dyDescent="0.2">
      <c r="A6" s="3"/>
      <c r="B6" s="3"/>
      <c r="C6" s="6"/>
      <c r="D6" s="7"/>
      <c r="E6" s="7"/>
      <c r="F6" s="7"/>
      <c r="G6" s="7"/>
      <c r="H6" s="7"/>
      <c r="I6" s="7"/>
      <c r="J6" s="7"/>
      <c r="K6" s="7"/>
      <c r="L6" s="7"/>
    </row>
    <row r="7" spans="1:20" ht="18" customHeight="1" thickBot="1" x14ac:dyDescent="0.3">
      <c r="A7" s="183" t="s">
        <v>5</v>
      </c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/>
      <c r="N7"/>
      <c r="O7"/>
      <c r="P7" s="8"/>
      <c r="Q7" s="8"/>
      <c r="R7" s="8"/>
      <c r="S7" s="8"/>
      <c r="T7" s="8"/>
    </row>
    <row r="8" spans="1:20" ht="24" customHeight="1" x14ac:dyDescent="0.25">
      <c r="A8" s="176" t="s">
        <v>22</v>
      </c>
      <c r="B8" s="177"/>
      <c r="C8" s="155" t="s">
        <v>125</v>
      </c>
      <c r="D8" s="155" t="s">
        <v>126</v>
      </c>
      <c r="E8" s="155" t="s">
        <v>127</v>
      </c>
      <c r="F8" s="9"/>
      <c r="G8" s="9"/>
      <c r="H8" s="9"/>
      <c r="I8" s="9"/>
      <c r="J8" s="9"/>
      <c r="K8" s="9"/>
      <c r="L8" s="10"/>
      <c r="M8"/>
      <c r="N8"/>
      <c r="O8"/>
      <c r="P8" s="8"/>
      <c r="Q8" s="8"/>
      <c r="R8" s="8"/>
      <c r="S8" s="8"/>
      <c r="T8" s="8"/>
    </row>
    <row r="9" spans="1:20" ht="18" customHeight="1" x14ac:dyDescent="0.3">
      <c r="A9" s="178" t="s">
        <v>23</v>
      </c>
      <c r="B9" s="179"/>
      <c r="C9" s="156" t="s">
        <v>99</v>
      </c>
      <c r="D9" s="156" t="s">
        <v>105</v>
      </c>
      <c r="E9" s="156" t="s">
        <v>110</v>
      </c>
      <c r="F9" s="11"/>
      <c r="G9" s="11"/>
      <c r="H9" s="11"/>
      <c r="I9" s="11"/>
      <c r="J9" s="11"/>
      <c r="K9" s="11"/>
      <c r="L9" s="12"/>
      <c r="M9"/>
      <c r="N9"/>
      <c r="O9"/>
      <c r="P9" s="8"/>
      <c r="Q9" s="8"/>
      <c r="R9" s="8"/>
      <c r="S9" s="8"/>
      <c r="T9" s="8"/>
    </row>
    <row r="10" spans="1:20" ht="33" customHeight="1" x14ac:dyDescent="0.25">
      <c r="A10" s="210" t="s">
        <v>24</v>
      </c>
      <c r="B10" s="211"/>
      <c r="C10" s="157">
        <v>8.8888893127441406</v>
      </c>
      <c r="D10" s="157">
        <v>8.8888893127441406</v>
      </c>
      <c r="E10" s="157">
        <v>8.8888893127441406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4">
        <v>0</v>
      </c>
      <c r="M10"/>
      <c r="N10"/>
      <c r="O10"/>
      <c r="P10" s="8"/>
      <c r="Q10" s="8"/>
      <c r="R10" s="8"/>
      <c r="S10" s="8"/>
      <c r="T10" s="8"/>
    </row>
    <row r="11" spans="1:20" ht="33" customHeight="1" thickBot="1" x14ac:dyDescent="0.3">
      <c r="A11" s="199" t="s">
        <v>25</v>
      </c>
      <c r="B11" s="200"/>
      <c r="C11" s="158">
        <v>0.25</v>
      </c>
      <c r="D11" s="158">
        <v>0.25</v>
      </c>
      <c r="E11" s="158">
        <v>0.25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6">
        <v>0</v>
      </c>
      <c r="M11"/>
      <c r="N11"/>
      <c r="O11"/>
      <c r="P11" s="8"/>
      <c r="Q11" s="8"/>
      <c r="R11" s="8"/>
      <c r="S11" s="8"/>
      <c r="T11" s="8"/>
    </row>
    <row r="12" spans="1:20" ht="18" customHeight="1" x14ac:dyDescent="0.25">
      <c r="A12" s="180" t="s">
        <v>26</v>
      </c>
      <c r="B12" s="181"/>
      <c r="C12" s="17">
        <f>C10 * [0]!NumberOfWorkHoursInDay</f>
        <v>26.666667938232422</v>
      </c>
      <c r="D12" s="17">
        <f>D10 * [0]!NumberOfWorkHoursInDay</f>
        <v>26.666667938232422</v>
      </c>
      <c r="E12" s="17">
        <f>E10 * [0]!NumberOfWorkHoursInDay</f>
        <v>26.666667938232422</v>
      </c>
      <c r="F12" s="17">
        <f>F10 * [0]!NumberOfWorkHoursInDay</f>
        <v>0</v>
      </c>
      <c r="G12" s="17">
        <f>G10 * [0]!NumberOfWorkHoursInDay</f>
        <v>0</v>
      </c>
      <c r="H12" s="17">
        <f>H10 * [0]!NumberOfWorkHoursInDay</f>
        <v>0</v>
      </c>
      <c r="I12" s="17">
        <f>I10 * [0]!NumberOfWorkHoursInDay</f>
        <v>0</v>
      </c>
      <c r="J12" s="17">
        <f>J10 * [0]!NumberOfWorkHoursInDay</f>
        <v>0</v>
      </c>
      <c r="K12" s="17">
        <f>K10 * [0]!NumberOfWorkHoursInDay</f>
        <v>0</v>
      </c>
      <c r="L12" s="18">
        <f>L10 * [0]!NumberOfWorkHoursInDay</f>
        <v>0</v>
      </c>
      <c r="M12"/>
      <c r="N12"/>
      <c r="O12"/>
      <c r="P12" s="8"/>
      <c r="Q12" s="8"/>
      <c r="R12" s="8"/>
      <c r="S12" s="8"/>
      <c r="T12" s="8"/>
    </row>
    <row r="13" spans="1:20" ht="18" customHeight="1" x14ac:dyDescent="0.25">
      <c r="A13" s="207" t="s">
        <v>27</v>
      </c>
      <c r="B13" s="208"/>
      <c r="C13" s="19">
        <f t="shared" ref="C13:L13" si="0" xml:space="preserve"> IF( C10 &gt; 0, ( 1 - C11 ), 0 )</f>
        <v>0.75</v>
      </c>
      <c r="D13" s="19">
        <f t="shared" si="0"/>
        <v>0.75</v>
      </c>
      <c r="E13" s="19">
        <f t="shared" si="0"/>
        <v>0.75</v>
      </c>
      <c r="F13" s="19">
        <f t="shared" si="0"/>
        <v>0</v>
      </c>
      <c r="G13" s="19">
        <f t="shared" si="0"/>
        <v>0</v>
      </c>
      <c r="H13" s="19">
        <f t="shared" si="0"/>
        <v>0</v>
      </c>
      <c r="I13" s="19">
        <f t="shared" si="0"/>
        <v>0</v>
      </c>
      <c r="J13" s="19">
        <f t="shared" si="0"/>
        <v>0</v>
      </c>
      <c r="K13" s="19">
        <f t="shared" si="0"/>
        <v>0</v>
      </c>
      <c r="L13" s="20">
        <f t="shared" si="0"/>
        <v>0</v>
      </c>
      <c r="M13"/>
      <c r="N13"/>
      <c r="O13"/>
      <c r="P13" s="8"/>
      <c r="Q13" s="8"/>
      <c r="R13" s="8"/>
      <c r="S13" s="8"/>
      <c r="T13" s="8"/>
    </row>
    <row r="14" spans="1:20" ht="18" customHeight="1" x14ac:dyDescent="0.25">
      <c r="A14" s="203" t="s">
        <v>28</v>
      </c>
      <c r="B14" s="204"/>
      <c r="C14" s="21">
        <f t="shared" ref="C14:L14" si="1">C12 * C13</f>
        <v>20.000000953674316</v>
      </c>
      <c r="D14" s="21">
        <f t="shared" si="1"/>
        <v>20.000000953674316</v>
      </c>
      <c r="E14" s="21">
        <f t="shared" si="1"/>
        <v>20.000000953674316</v>
      </c>
      <c r="F14" s="21">
        <f t="shared" si="1"/>
        <v>0</v>
      </c>
      <c r="G14" s="21">
        <f t="shared" si="1"/>
        <v>0</v>
      </c>
      <c r="H14" s="21">
        <f t="shared" si="1"/>
        <v>0</v>
      </c>
      <c r="I14" s="21">
        <f t="shared" si="1"/>
        <v>0</v>
      </c>
      <c r="J14" s="21">
        <f t="shared" si="1"/>
        <v>0</v>
      </c>
      <c r="K14" s="21">
        <f t="shared" si="1"/>
        <v>0</v>
      </c>
      <c r="L14" s="22">
        <f t="shared" si="1"/>
        <v>0</v>
      </c>
      <c r="M14"/>
      <c r="N14"/>
      <c r="O14"/>
      <c r="P14" s="8"/>
      <c r="Q14" s="8"/>
      <c r="R14" s="8"/>
      <c r="S14" s="8"/>
      <c r="T14" s="8"/>
    </row>
    <row r="15" spans="1:20" ht="30" customHeight="1" x14ac:dyDescent="0.25">
      <c r="A15" s="203" t="s">
        <v>29</v>
      </c>
      <c r="B15" s="204"/>
      <c r="C15" s="23">
        <f>DailyWorkRemaining( 'Sprint Backlog'!$D$5:$D$65536, C9, 'Sprint Backlog'!$G$5:$G$65536 )</f>
        <v>20</v>
      </c>
      <c r="D15" s="23">
        <f>DailyWorkRemaining( 'Sprint Backlog'!$D$5:$D$65536, D9, 'Sprint Backlog'!$G$5:$G$65536 )</f>
        <v>20</v>
      </c>
      <c r="E15" s="23">
        <f>DailyWorkRemaining( 'Sprint Backlog'!$D$5:$D$65536, E9, 'Sprint Backlog'!$G$5:$G$65536 )</f>
        <v>20</v>
      </c>
      <c r="F15" s="23">
        <f>DailyWorkRemaining( 'Sprint Backlog'!$D$5:$D$65536, F9, 'Sprint Backlog'!$G$5:$G$65536 )</f>
        <v>0</v>
      </c>
      <c r="G15" s="23">
        <f>DailyWorkRemaining( 'Sprint Backlog'!$D$5:$D$65536, G9, 'Sprint Backlog'!$G$5:$G$65536 )</f>
        <v>0</v>
      </c>
      <c r="H15" s="23">
        <f>DailyWorkRemaining( 'Sprint Backlog'!$D$5:$D$65536, H9, 'Sprint Backlog'!$G$5:$G$65536 )</f>
        <v>0</v>
      </c>
      <c r="I15" s="23">
        <f>DailyWorkRemaining( 'Sprint Backlog'!$D$5:$D$65536, I9, 'Sprint Backlog'!$G$5:$G$65536 )</f>
        <v>0</v>
      </c>
      <c r="J15" s="23">
        <f>DailyWorkRemaining( 'Sprint Backlog'!$D$5:$D$65536, J9, 'Sprint Backlog'!$G$5:$G$65536 )</f>
        <v>0</v>
      </c>
      <c r="K15" s="23">
        <f>DailyWorkRemaining( 'Sprint Backlog'!$D$5:$D$65536, K9, 'Sprint Backlog'!$G$5:$G$65536 )</f>
        <v>0</v>
      </c>
      <c r="L15" s="24">
        <f>DailyWorkRemaining( 'Sprint Backlog'!$D$5:$D$65536, L9, 'Sprint Backlog'!$G$5:$G$65536 )</f>
        <v>0</v>
      </c>
      <c r="M15"/>
      <c r="N15"/>
      <c r="O15"/>
      <c r="P15" s="8"/>
      <c r="Q15" s="8"/>
      <c r="R15" s="8"/>
      <c r="S15" s="8"/>
      <c r="T15" s="8"/>
    </row>
    <row r="16" spans="1:20" ht="30" customHeight="1" thickBot="1" x14ac:dyDescent="0.3">
      <c r="A16" s="205" t="s">
        <v>30</v>
      </c>
      <c r="B16" s="206"/>
      <c r="C16" s="25">
        <f t="shared" ref="C16:L16" si="2">ROUND( C14 - C15, 0 )</f>
        <v>0</v>
      </c>
      <c r="D16" s="25">
        <f t="shared" si="2"/>
        <v>0</v>
      </c>
      <c r="E16" s="25">
        <f t="shared" si="2"/>
        <v>0</v>
      </c>
      <c r="F16" s="25">
        <f t="shared" si="2"/>
        <v>0</v>
      </c>
      <c r="G16" s="25">
        <f t="shared" si="2"/>
        <v>0</v>
      </c>
      <c r="H16" s="25">
        <f t="shared" si="2"/>
        <v>0</v>
      </c>
      <c r="I16" s="25">
        <f t="shared" si="2"/>
        <v>0</v>
      </c>
      <c r="J16" s="25">
        <f t="shared" si="2"/>
        <v>0</v>
      </c>
      <c r="K16" s="25">
        <f t="shared" si="2"/>
        <v>0</v>
      </c>
      <c r="L16" s="26">
        <f t="shared" si="2"/>
        <v>0</v>
      </c>
      <c r="M16"/>
      <c r="N16"/>
      <c r="O16"/>
      <c r="P16" s="8"/>
      <c r="Q16" s="8"/>
      <c r="R16" s="8"/>
      <c r="S16" s="8"/>
      <c r="T16" s="8"/>
    </row>
    <row r="17" spans="1:15" ht="12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5" ht="18" customHeight="1" thickBot="1" x14ac:dyDescent="0.35">
      <c r="A18" s="193" t="s">
        <v>6</v>
      </c>
      <c r="B18" s="194"/>
      <c r="C18" s="194"/>
      <c r="D18" s="194"/>
      <c r="E18" s="194"/>
      <c r="F18" s="194"/>
      <c r="G18" s="194"/>
      <c r="H18" s="194"/>
      <c r="I18" s="194"/>
      <c r="J18" s="194"/>
      <c r="K18" s="194"/>
      <c r="L18" s="194"/>
      <c r="M18" s="147"/>
      <c r="N18" s="147"/>
      <c r="O18" s="147"/>
    </row>
    <row r="19" spans="1:15" ht="12" customHeight="1" x14ac:dyDescent="0.25">
      <c r="A19" s="28"/>
      <c r="B19" s="29"/>
      <c r="C19" s="30" t="str">
        <f t="shared" ref="C19:L19" si="3">IF( ISBLANK( C$9 ), "", C$9 )</f>
        <v>JR</v>
      </c>
      <c r="D19" s="30" t="str">
        <f t="shared" si="3"/>
        <v>AT</v>
      </c>
      <c r="E19" s="30" t="str">
        <f t="shared" si="3"/>
        <v>EM</v>
      </c>
      <c r="F19" s="30" t="str">
        <f t="shared" si="3"/>
        <v/>
      </c>
      <c r="G19" s="30" t="str">
        <f t="shared" si="3"/>
        <v/>
      </c>
      <c r="H19" s="30" t="str">
        <f t="shared" si="3"/>
        <v/>
      </c>
      <c r="I19" s="30" t="str">
        <f t="shared" si="3"/>
        <v/>
      </c>
      <c r="J19" s="30" t="str">
        <f t="shared" si="3"/>
        <v/>
      </c>
      <c r="K19" s="30" t="str">
        <f t="shared" si="3"/>
        <v/>
      </c>
      <c r="L19" s="31" t="str">
        <f t="shared" si="3"/>
        <v/>
      </c>
      <c r="M19" s="147"/>
      <c r="N19" s="147"/>
      <c r="O19" s="147"/>
    </row>
    <row r="20" spans="1:15" ht="12" customHeight="1" x14ac:dyDescent="0.25">
      <c r="A20" s="32">
        <v>1</v>
      </c>
      <c r="B20" s="33">
        <f>SprintStartDate</f>
        <v>44636</v>
      </c>
      <c r="C20" s="160">
        <v>0</v>
      </c>
      <c r="D20" s="160">
        <v>0</v>
      </c>
      <c r="E20" s="160">
        <v>0</v>
      </c>
      <c r="F20" s="152">
        <f t="shared" ref="F20:L29" si="4">TeamMemberDailyAvailability( F$9, $B20, $K$5, F$11, F$43 )</f>
        <v>0</v>
      </c>
      <c r="G20" s="152">
        <f t="shared" si="4"/>
        <v>0</v>
      </c>
      <c r="H20" s="152">
        <f t="shared" si="4"/>
        <v>0</v>
      </c>
      <c r="I20" s="152">
        <f t="shared" si="4"/>
        <v>0</v>
      </c>
      <c r="J20" s="152">
        <f t="shared" si="4"/>
        <v>0</v>
      </c>
      <c r="K20" s="152">
        <f t="shared" si="4"/>
        <v>0</v>
      </c>
      <c r="L20" s="153">
        <f t="shared" si="4"/>
        <v>0</v>
      </c>
      <c r="M20" s="147"/>
      <c r="N20" s="147"/>
      <c r="O20" s="147"/>
    </row>
    <row r="21" spans="1:15" ht="12" customHeight="1" x14ac:dyDescent="0.25">
      <c r="A21" s="34">
        <f t="shared" ref="A21:A41" si="5">A20+1</f>
        <v>2</v>
      </c>
      <c r="B21" s="35">
        <f t="shared" ref="B21:B41" si="6">B20+1</f>
        <v>44637</v>
      </c>
      <c r="C21" s="161">
        <v>0</v>
      </c>
      <c r="D21" s="161">
        <v>0</v>
      </c>
      <c r="E21" s="161">
        <v>0</v>
      </c>
      <c r="F21" s="150">
        <f t="shared" si="4"/>
        <v>0</v>
      </c>
      <c r="G21" s="150">
        <f t="shared" si="4"/>
        <v>0</v>
      </c>
      <c r="H21" s="150">
        <f t="shared" si="4"/>
        <v>0</v>
      </c>
      <c r="I21" s="150">
        <f t="shared" si="4"/>
        <v>0</v>
      </c>
      <c r="J21" s="150">
        <f t="shared" si="4"/>
        <v>0</v>
      </c>
      <c r="K21" s="150">
        <f t="shared" si="4"/>
        <v>0</v>
      </c>
      <c r="L21" s="151">
        <f t="shared" si="4"/>
        <v>0</v>
      </c>
      <c r="M21" s="147"/>
      <c r="N21" s="147"/>
      <c r="O21" s="147"/>
    </row>
    <row r="22" spans="1:15" ht="12" customHeight="1" x14ac:dyDescent="0.25">
      <c r="A22" s="34">
        <f t="shared" si="5"/>
        <v>3</v>
      </c>
      <c r="B22" s="35">
        <f t="shared" si="6"/>
        <v>44638</v>
      </c>
      <c r="C22" s="161">
        <v>0</v>
      </c>
      <c r="D22" s="161">
        <v>0</v>
      </c>
      <c r="E22" s="161">
        <v>0</v>
      </c>
      <c r="F22" s="150">
        <f t="shared" si="4"/>
        <v>0</v>
      </c>
      <c r="G22" s="150">
        <f t="shared" si="4"/>
        <v>0</v>
      </c>
      <c r="H22" s="150">
        <f t="shared" si="4"/>
        <v>0</v>
      </c>
      <c r="I22" s="150">
        <f t="shared" si="4"/>
        <v>0</v>
      </c>
      <c r="J22" s="150">
        <f t="shared" si="4"/>
        <v>0</v>
      </c>
      <c r="K22" s="150">
        <f t="shared" si="4"/>
        <v>0</v>
      </c>
      <c r="L22" s="151">
        <f t="shared" si="4"/>
        <v>0</v>
      </c>
      <c r="M22" s="147"/>
      <c r="N22" s="147"/>
      <c r="O22" s="147"/>
    </row>
    <row r="23" spans="1:15" ht="12" customHeight="1" x14ac:dyDescent="0.25">
      <c r="A23" s="34">
        <f t="shared" si="5"/>
        <v>4</v>
      </c>
      <c r="B23" s="35">
        <f t="shared" si="6"/>
        <v>44639</v>
      </c>
      <c r="C23" s="150">
        <f t="shared" ref="C23:E24" si="7">TeamMemberDailyAvailability( C$9, $B23, $K$5, C$11, C$43 )</f>
        <v>0</v>
      </c>
      <c r="D23" s="150">
        <f t="shared" si="7"/>
        <v>0</v>
      </c>
      <c r="E23" s="150">
        <f t="shared" si="7"/>
        <v>0</v>
      </c>
      <c r="F23" s="150">
        <f t="shared" si="4"/>
        <v>0</v>
      </c>
      <c r="G23" s="150">
        <f t="shared" si="4"/>
        <v>0</v>
      </c>
      <c r="H23" s="150">
        <f t="shared" si="4"/>
        <v>0</v>
      </c>
      <c r="I23" s="150">
        <f t="shared" si="4"/>
        <v>0</v>
      </c>
      <c r="J23" s="150">
        <f t="shared" si="4"/>
        <v>0</v>
      </c>
      <c r="K23" s="150">
        <f t="shared" si="4"/>
        <v>0</v>
      </c>
      <c r="L23" s="151">
        <f t="shared" si="4"/>
        <v>0</v>
      </c>
      <c r="M23" s="147"/>
      <c r="N23" s="147"/>
      <c r="O23" s="147"/>
    </row>
    <row r="24" spans="1:15" ht="12" customHeight="1" x14ac:dyDescent="0.25">
      <c r="A24" s="34">
        <f t="shared" si="5"/>
        <v>5</v>
      </c>
      <c r="B24" s="35">
        <f t="shared" si="6"/>
        <v>44640</v>
      </c>
      <c r="C24" s="150">
        <f t="shared" si="7"/>
        <v>0</v>
      </c>
      <c r="D24" s="150">
        <f t="shared" si="7"/>
        <v>0</v>
      </c>
      <c r="E24" s="150">
        <f t="shared" si="7"/>
        <v>0</v>
      </c>
      <c r="F24" s="150">
        <f t="shared" si="4"/>
        <v>0</v>
      </c>
      <c r="G24" s="150">
        <f t="shared" si="4"/>
        <v>0</v>
      </c>
      <c r="H24" s="150">
        <f t="shared" si="4"/>
        <v>0</v>
      </c>
      <c r="I24" s="150">
        <f t="shared" si="4"/>
        <v>0</v>
      </c>
      <c r="J24" s="150">
        <f t="shared" si="4"/>
        <v>0</v>
      </c>
      <c r="K24" s="150">
        <f t="shared" si="4"/>
        <v>0</v>
      </c>
      <c r="L24" s="151">
        <f t="shared" si="4"/>
        <v>0</v>
      </c>
      <c r="M24" s="147"/>
      <c r="N24" s="147"/>
      <c r="O24" s="147"/>
    </row>
    <row r="25" spans="1:15" ht="12" customHeight="1" x14ac:dyDescent="0.25">
      <c r="A25" s="34">
        <f t="shared" si="5"/>
        <v>6</v>
      </c>
      <c r="B25" s="35">
        <f t="shared" si="6"/>
        <v>44641</v>
      </c>
      <c r="C25" s="161">
        <v>0</v>
      </c>
      <c r="D25" s="161">
        <v>0</v>
      </c>
      <c r="E25" s="161">
        <v>0</v>
      </c>
      <c r="F25" s="150">
        <f t="shared" si="4"/>
        <v>0</v>
      </c>
      <c r="G25" s="150">
        <f t="shared" si="4"/>
        <v>0</v>
      </c>
      <c r="H25" s="150">
        <f t="shared" si="4"/>
        <v>0</v>
      </c>
      <c r="I25" s="150">
        <f t="shared" si="4"/>
        <v>0</v>
      </c>
      <c r="J25" s="150">
        <f t="shared" si="4"/>
        <v>0</v>
      </c>
      <c r="K25" s="150">
        <f t="shared" si="4"/>
        <v>0</v>
      </c>
      <c r="L25" s="151">
        <f t="shared" si="4"/>
        <v>0</v>
      </c>
      <c r="M25" s="147"/>
      <c r="N25" s="147"/>
      <c r="O25" s="147"/>
    </row>
    <row r="26" spans="1:15" ht="12" customHeight="1" x14ac:dyDescent="0.25">
      <c r="A26" s="34">
        <f t="shared" si="5"/>
        <v>7</v>
      </c>
      <c r="B26" s="35">
        <f t="shared" si="6"/>
        <v>44642</v>
      </c>
      <c r="C26" s="161">
        <v>0</v>
      </c>
      <c r="D26" s="161">
        <v>0</v>
      </c>
      <c r="E26" s="161">
        <v>0</v>
      </c>
      <c r="F26" s="150">
        <f t="shared" si="4"/>
        <v>0</v>
      </c>
      <c r="G26" s="150">
        <f t="shared" si="4"/>
        <v>0</v>
      </c>
      <c r="H26" s="150">
        <f t="shared" si="4"/>
        <v>0</v>
      </c>
      <c r="I26" s="150">
        <f t="shared" si="4"/>
        <v>0</v>
      </c>
      <c r="J26" s="150">
        <f t="shared" si="4"/>
        <v>0</v>
      </c>
      <c r="K26" s="150">
        <f t="shared" si="4"/>
        <v>0</v>
      </c>
      <c r="L26" s="151">
        <f t="shared" si="4"/>
        <v>0</v>
      </c>
      <c r="M26" s="147"/>
      <c r="N26" s="147"/>
      <c r="O26" s="147"/>
    </row>
    <row r="27" spans="1:15" ht="12" customHeight="1" x14ac:dyDescent="0.25">
      <c r="A27" s="34">
        <f t="shared" si="5"/>
        <v>8</v>
      </c>
      <c r="B27" s="35">
        <f t="shared" si="6"/>
        <v>44643</v>
      </c>
      <c r="C27" s="161">
        <v>1</v>
      </c>
      <c r="D27" s="161">
        <v>0</v>
      </c>
      <c r="E27" s="161">
        <v>0</v>
      </c>
      <c r="F27" s="150">
        <f t="shared" si="4"/>
        <v>0</v>
      </c>
      <c r="G27" s="150">
        <f t="shared" si="4"/>
        <v>0</v>
      </c>
      <c r="H27" s="150">
        <f t="shared" si="4"/>
        <v>0</v>
      </c>
      <c r="I27" s="150">
        <f t="shared" si="4"/>
        <v>0</v>
      </c>
      <c r="J27" s="150">
        <f t="shared" si="4"/>
        <v>0</v>
      </c>
      <c r="K27" s="150">
        <f t="shared" si="4"/>
        <v>0</v>
      </c>
      <c r="L27" s="151">
        <f t="shared" si="4"/>
        <v>0</v>
      </c>
      <c r="M27" s="147"/>
      <c r="N27" s="147"/>
      <c r="O27" s="147"/>
    </row>
    <row r="28" spans="1:15" ht="12" customHeight="1" x14ac:dyDescent="0.25">
      <c r="A28" s="34">
        <f t="shared" si="5"/>
        <v>9</v>
      </c>
      <c r="B28" s="35">
        <f t="shared" si="6"/>
        <v>44644</v>
      </c>
      <c r="C28" s="161">
        <v>1</v>
      </c>
      <c r="D28" s="161">
        <v>0</v>
      </c>
      <c r="E28" s="161">
        <v>0</v>
      </c>
      <c r="F28" s="150">
        <f t="shared" si="4"/>
        <v>0</v>
      </c>
      <c r="G28" s="150">
        <f t="shared" si="4"/>
        <v>0</v>
      </c>
      <c r="H28" s="150">
        <f t="shared" si="4"/>
        <v>0</v>
      </c>
      <c r="I28" s="150">
        <f t="shared" si="4"/>
        <v>0</v>
      </c>
      <c r="J28" s="150">
        <f t="shared" si="4"/>
        <v>0</v>
      </c>
      <c r="K28" s="150">
        <f t="shared" si="4"/>
        <v>0</v>
      </c>
      <c r="L28" s="151">
        <f t="shared" si="4"/>
        <v>0</v>
      </c>
      <c r="M28" s="147"/>
      <c r="N28" s="147"/>
      <c r="O28" s="147"/>
    </row>
    <row r="29" spans="1:15" ht="12" customHeight="1" x14ac:dyDescent="0.25">
      <c r="A29" s="34">
        <f t="shared" si="5"/>
        <v>10</v>
      </c>
      <c r="B29" s="35">
        <f t="shared" si="6"/>
        <v>44645</v>
      </c>
      <c r="C29" s="161">
        <v>2</v>
      </c>
      <c r="D29" s="161">
        <v>0</v>
      </c>
      <c r="E29" s="161">
        <v>0</v>
      </c>
      <c r="F29" s="150">
        <f t="shared" si="4"/>
        <v>0</v>
      </c>
      <c r="G29" s="150">
        <f t="shared" si="4"/>
        <v>0</v>
      </c>
      <c r="H29" s="150">
        <f t="shared" si="4"/>
        <v>0</v>
      </c>
      <c r="I29" s="150">
        <f t="shared" si="4"/>
        <v>0</v>
      </c>
      <c r="J29" s="150">
        <f t="shared" si="4"/>
        <v>0</v>
      </c>
      <c r="K29" s="150">
        <f t="shared" si="4"/>
        <v>0</v>
      </c>
      <c r="L29" s="151">
        <f t="shared" si="4"/>
        <v>0</v>
      </c>
      <c r="M29" s="147"/>
      <c r="N29" s="147"/>
      <c r="O29" s="147"/>
    </row>
    <row r="30" spans="1:15" ht="12" customHeight="1" x14ac:dyDescent="0.25">
      <c r="A30" s="34">
        <f t="shared" si="5"/>
        <v>11</v>
      </c>
      <c r="B30" s="35">
        <f t="shared" si="6"/>
        <v>44646</v>
      </c>
      <c r="C30" s="150">
        <f t="shared" ref="C30:E31" si="8">TeamMemberDailyAvailability( C$9, $B30, $K$5, C$11, C$43 )</f>
        <v>0</v>
      </c>
      <c r="D30" s="150">
        <f t="shared" si="8"/>
        <v>0</v>
      </c>
      <c r="E30" s="150">
        <f t="shared" si="8"/>
        <v>0</v>
      </c>
      <c r="F30" s="150">
        <f t="shared" ref="F30:L41" si="9">TeamMemberDailyAvailability( F$9, $B30, $K$5, F$11, F$43 )</f>
        <v>0</v>
      </c>
      <c r="G30" s="150">
        <f t="shared" si="9"/>
        <v>0</v>
      </c>
      <c r="H30" s="150">
        <f t="shared" si="9"/>
        <v>0</v>
      </c>
      <c r="I30" s="150">
        <f t="shared" si="9"/>
        <v>0</v>
      </c>
      <c r="J30" s="150">
        <f t="shared" si="9"/>
        <v>0</v>
      </c>
      <c r="K30" s="150">
        <f t="shared" si="9"/>
        <v>0</v>
      </c>
      <c r="L30" s="151">
        <f t="shared" si="9"/>
        <v>0</v>
      </c>
      <c r="M30" s="147"/>
      <c r="N30" s="147"/>
      <c r="O30" s="147"/>
    </row>
    <row r="31" spans="1:15" ht="12" customHeight="1" x14ac:dyDescent="0.25">
      <c r="A31" s="34">
        <f t="shared" si="5"/>
        <v>12</v>
      </c>
      <c r="B31" s="35">
        <f t="shared" si="6"/>
        <v>44647</v>
      </c>
      <c r="C31" s="150">
        <f t="shared" si="8"/>
        <v>0</v>
      </c>
      <c r="D31" s="150">
        <f t="shared" si="8"/>
        <v>0</v>
      </c>
      <c r="E31" s="150">
        <f t="shared" si="8"/>
        <v>0</v>
      </c>
      <c r="F31" s="150">
        <f t="shared" si="9"/>
        <v>0</v>
      </c>
      <c r="G31" s="150">
        <f t="shared" si="9"/>
        <v>0</v>
      </c>
      <c r="H31" s="150">
        <f t="shared" si="9"/>
        <v>0</v>
      </c>
      <c r="I31" s="150">
        <f t="shared" si="9"/>
        <v>0</v>
      </c>
      <c r="J31" s="150">
        <f t="shared" si="9"/>
        <v>0</v>
      </c>
      <c r="K31" s="150">
        <f t="shared" si="9"/>
        <v>0</v>
      </c>
      <c r="L31" s="151">
        <f t="shared" si="9"/>
        <v>0</v>
      </c>
      <c r="M31" s="147"/>
      <c r="N31" s="147"/>
      <c r="O31" s="147"/>
    </row>
    <row r="32" spans="1:15" ht="12" customHeight="1" x14ac:dyDescent="0.25">
      <c r="A32" s="34">
        <f t="shared" si="5"/>
        <v>13</v>
      </c>
      <c r="B32" s="35">
        <f t="shared" si="6"/>
        <v>44648</v>
      </c>
      <c r="C32" s="161">
        <v>3</v>
      </c>
      <c r="D32" s="161">
        <v>3</v>
      </c>
      <c r="E32" s="161">
        <v>3</v>
      </c>
      <c r="F32" s="150">
        <f t="shared" si="9"/>
        <v>0</v>
      </c>
      <c r="G32" s="150">
        <f t="shared" si="9"/>
        <v>0</v>
      </c>
      <c r="H32" s="150">
        <f t="shared" si="9"/>
        <v>0</v>
      </c>
      <c r="I32" s="150">
        <f t="shared" si="9"/>
        <v>0</v>
      </c>
      <c r="J32" s="150">
        <f t="shared" si="9"/>
        <v>0</v>
      </c>
      <c r="K32" s="150">
        <f t="shared" si="9"/>
        <v>0</v>
      </c>
      <c r="L32" s="151">
        <f t="shared" si="9"/>
        <v>0</v>
      </c>
      <c r="M32" s="147"/>
      <c r="N32" s="147"/>
      <c r="O32" s="147"/>
    </row>
    <row r="33" spans="1:15" ht="12" customHeight="1" x14ac:dyDescent="0.25">
      <c r="A33" s="34">
        <f t="shared" si="5"/>
        <v>14</v>
      </c>
      <c r="B33" s="35">
        <f t="shared" si="6"/>
        <v>44649</v>
      </c>
      <c r="C33" s="161">
        <v>2</v>
      </c>
      <c r="D33" s="161">
        <v>2</v>
      </c>
      <c r="E33" s="161">
        <v>2</v>
      </c>
      <c r="F33" s="150">
        <f t="shared" si="9"/>
        <v>0</v>
      </c>
      <c r="G33" s="150">
        <f t="shared" si="9"/>
        <v>0</v>
      </c>
      <c r="H33" s="150">
        <f t="shared" si="9"/>
        <v>0</v>
      </c>
      <c r="I33" s="150">
        <f t="shared" si="9"/>
        <v>0</v>
      </c>
      <c r="J33" s="150">
        <f t="shared" si="9"/>
        <v>0</v>
      </c>
      <c r="K33" s="150">
        <f t="shared" si="9"/>
        <v>0</v>
      </c>
      <c r="L33" s="151">
        <f t="shared" si="9"/>
        <v>0</v>
      </c>
      <c r="M33" s="147"/>
      <c r="N33" s="147"/>
      <c r="O33" s="147"/>
    </row>
    <row r="34" spans="1:15" ht="12" customHeight="1" x14ac:dyDescent="0.25">
      <c r="A34" s="34">
        <f t="shared" si="5"/>
        <v>15</v>
      </c>
      <c r="B34" s="35">
        <f t="shared" si="6"/>
        <v>44650</v>
      </c>
      <c r="C34" s="161">
        <v>2</v>
      </c>
      <c r="D34" s="161">
        <v>3</v>
      </c>
      <c r="E34" s="161">
        <v>3</v>
      </c>
      <c r="F34" s="150">
        <f t="shared" si="9"/>
        <v>0</v>
      </c>
      <c r="G34" s="150">
        <f t="shared" si="9"/>
        <v>0</v>
      </c>
      <c r="H34" s="150">
        <f t="shared" si="9"/>
        <v>0</v>
      </c>
      <c r="I34" s="150">
        <f t="shared" si="9"/>
        <v>0</v>
      </c>
      <c r="J34" s="150">
        <f t="shared" si="9"/>
        <v>0</v>
      </c>
      <c r="K34" s="150">
        <f t="shared" si="9"/>
        <v>0</v>
      </c>
      <c r="L34" s="151">
        <f t="shared" si="9"/>
        <v>0</v>
      </c>
      <c r="M34" s="147"/>
      <c r="N34" s="147"/>
      <c r="O34" s="147"/>
    </row>
    <row r="35" spans="1:15" ht="12" customHeight="1" x14ac:dyDescent="0.25">
      <c r="A35" s="34">
        <f t="shared" si="5"/>
        <v>16</v>
      </c>
      <c r="B35" s="35">
        <f t="shared" si="6"/>
        <v>44651</v>
      </c>
      <c r="C35" s="161">
        <v>2</v>
      </c>
      <c r="D35" s="161">
        <v>2</v>
      </c>
      <c r="E35" s="161">
        <v>2</v>
      </c>
      <c r="F35" s="150">
        <f t="shared" si="9"/>
        <v>0</v>
      </c>
      <c r="G35" s="150">
        <f t="shared" si="9"/>
        <v>0</v>
      </c>
      <c r="H35" s="150">
        <f t="shared" si="9"/>
        <v>0</v>
      </c>
      <c r="I35" s="150">
        <f t="shared" si="9"/>
        <v>0</v>
      </c>
      <c r="J35" s="150">
        <f t="shared" si="9"/>
        <v>0</v>
      </c>
      <c r="K35" s="150">
        <f t="shared" si="9"/>
        <v>0</v>
      </c>
      <c r="L35" s="151">
        <f t="shared" si="9"/>
        <v>0</v>
      </c>
      <c r="M35" s="147"/>
      <c r="N35" s="147"/>
      <c r="O35" s="147"/>
    </row>
    <row r="36" spans="1:15" ht="12" customHeight="1" x14ac:dyDescent="0.25">
      <c r="A36" s="34">
        <f t="shared" si="5"/>
        <v>17</v>
      </c>
      <c r="B36" s="35">
        <f t="shared" si="6"/>
        <v>44652</v>
      </c>
      <c r="C36" s="161">
        <v>2</v>
      </c>
      <c r="D36" s="161">
        <v>3</v>
      </c>
      <c r="E36" s="161">
        <v>3</v>
      </c>
      <c r="F36" s="150">
        <f t="shared" si="9"/>
        <v>0</v>
      </c>
      <c r="G36" s="150">
        <f t="shared" si="9"/>
        <v>0</v>
      </c>
      <c r="H36" s="150">
        <f t="shared" si="9"/>
        <v>0</v>
      </c>
      <c r="I36" s="150">
        <f t="shared" si="9"/>
        <v>0</v>
      </c>
      <c r="J36" s="150">
        <f t="shared" si="9"/>
        <v>0</v>
      </c>
      <c r="K36" s="150">
        <f t="shared" si="9"/>
        <v>0</v>
      </c>
      <c r="L36" s="151">
        <f t="shared" si="9"/>
        <v>0</v>
      </c>
      <c r="M36" s="147"/>
      <c r="N36" s="147"/>
      <c r="O36" s="147"/>
    </row>
    <row r="37" spans="1:15" ht="12" customHeight="1" x14ac:dyDescent="0.25">
      <c r="A37" s="34">
        <f t="shared" si="5"/>
        <v>18</v>
      </c>
      <c r="B37" s="35">
        <f t="shared" si="6"/>
        <v>44653</v>
      </c>
      <c r="C37" s="161">
        <v>0</v>
      </c>
      <c r="D37" s="161">
        <v>0</v>
      </c>
      <c r="E37" s="161">
        <v>0</v>
      </c>
      <c r="F37" s="150">
        <f t="shared" si="9"/>
        <v>0</v>
      </c>
      <c r="G37" s="150">
        <f t="shared" si="9"/>
        <v>0</v>
      </c>
      <c r="H37" s="150">
        <f t="shared" si="9"/>
        <v>0</v>
      </c>
      <c r="I37" s="150">
        <f t="shared" si="9"/>
        <v>0</v>
      </c>
      <c r="J37" s="150">
        <f t="shared" si="9"/>
        <v>0</v>
      </c>
      <c r="K37" s="150">
        <f t="shared" si="9"/>
        <v>0</v>
      </c>
      <c r="L37" s="151">
        <f t="shared" si="9"/>
        <v>0</v>
      </c>
      <c r="M37" s="147"/>
      <c r="N37" s="147"/>
      <c r="O37" s="147"/>
    </row>
    <row r="38" spans="1:15" ht="12" customHeight="1" x14ac:dyDescent="0.25">
      <c r="A38" s="34">
        <f t="shared" si="5"/>
        <v>19</v>
      </c>
      <c r="B38" s="35">
        <f t="shared" si="6"/>
        <v>44654</v>
      </c>
      <c r="C38" s="161">
        <v>0</v>
      </c>
      <c r="D38" s="161">
        <v>0</v>
      </c>
      <c r="E38" s="161">
        <v>0</v>
      </c>
      <c r="F38" s="150">
        <f t="shared" si="9"/>
        <v>0</v>
      </c>
      <c r="G38" s="150">
        <f t="shared" si="9"/>
        <v>0</v>
      </c>
      <c r="H38" s="150">
        <f t="shared" si="9"/>
        <v>0</v>
      </c>
      <c r="I38" s="150">
        <f t="shared" si="9"/>
        <v>0</v>
      </c>
      <c r="J38" s="150">
        <f t="shared" si="9"/>
        <v>0</v>
      </c>
      <c r="K38" s="150">
        <f t="shared" si="9"/>
        <v>0</v>
      </c>
      <c r="L38" s="151">
        <f t="shared" si="9"/>
        <v>0</v>
      </c>
      <c r="M38" s="147"/>
      <c r="N38" s="147"/>
      <c r="O38" s="147"/>
    </row>
    <row r="39" spans="1:15" ht="12" customHeight="1" x14ac:dyDescent="0.25">
      <c r="A39" s="34">
        <f t="shared" si="5"/>
        <v>20</v>
      </c>
      <c r="B39" s="35">
        <f t="shared" si="6"/>
        <v>44655</v>
      </c>
      <c r="C39" s="161">
        <v>3</v>
      </c>
      <c r="D39" s="161">
        <v>3</v>
      </c>
      <c r="E39" s="161">
        <v>3</v>
      </c>
      <c r="F39" s="150">
        <f t="shared" si="9"/>
        <v>0</v>
      </c>
      <c r="G39" s="150">
        <f t="shared" si="9"/>
        <v>0</v>
      </c>
      <c r="H39" s="150">
        <f t="shared" si="9"/>
        <v>0</v>
      </c>
      <c r="I39" s="150">
        <f t="shared" si="9"/>
        <v>0</v>
      </c>
      <c r="J39" s="150">
        <f t="shared" si="9"/>
        <v>0</v>
      </c>
      <c r="K39" s="150">
        <f t="shared" si="9"/>
        <v>0</v>
      </c>
      <c r="L39" s="151">
        <f t="shared" si="9"/>
        <v>0</v>
      </c>
      <c r="M39" s="147"/>
      <c r="N39" s="147"/>
      <c r="O39" s="147"/>
    </row>
    <row r="40" spans="1:15" ht="12" customHeight="1" x14ac:dyDescent="0.25">
      <c r="A40" s="34">
        <f t="shared" si="5"/>
        <v>21</v>
      </c>
      <c r="B40" s="35">
        <f t="shared" si="6"/>
        <v>44656</v>
      </c>
      <c r="C40" s="161">
        <v>2</v>
      </c>
      <c r="D40" s="161">
        <v>2</v>
      </c>
      <c r="E40" s="161">
        <v>2</v>
      </c>
      <c r="F40" s="150">
        <f t="shared" si="9"/>
        <v>0</v>
      </c>
      <c r="G40" s="150">
        <f t="shared" si="9"/>
        <v>0</v>
      </c>
      <c r="H40" s="150">
        <f t="shared" si="9"/>
        <v>0</v>
      </c>
      <c r="I40" s="150">
        <f t="shared" si="9"/>
        <v>0</v>
      </c>
      <c r="J40" s="150">
        <f t="shared" si="9"/>
        <v>0</v>
      </c>
      <c r="K40" s="150">
        <f t="shared" si="9"/>
        <v>0</v>
      </c>
      <c r="L40" s="151">
        <f t="shared" si="9"/>
        <v>0</v>
      </c>
      <c r="M40" s="147"/>
      <c r="N40" s="147"/>
      <c r="O40" s="147"/>
    </row>
    <row r="41" spans="1:15" ht="12" customHeight="1" x14ac:dyDescent="0.25">
      <c r="A41" s="34">
        <f t="shared" si="5"/>
        <v>22</v>
      </c>
      <c r="B41" s="35">
        <f t="shared" si="6"/>
        <v>44657</v>
      </c>
      <c r="C41" s="161">
        <v>0</v>
      </c>
      <c r="D41" s="161">
        <v>2</v>
      </c>
      <c r="E41" s="161">
        <v>2</v>
      </c>
      <c r="F41" s="150">
        <f t="shared" si="9"/>
        <v>0</v>
      </c>
      <c r="G41" s="150">
        <f t="shared" si="9"/>
        <v>0</v>
      </c>
      <c r="H41" s="150">
        <f t="shared" si="9"/>
        <v>0</v>
      </c>
      <c r="I41" s="150">
        <f t="shared" si="9"/>
        <v>0</v>
      </c>
      <c r="J41" s="150">
        <f t="shared" si="9"/>
        <v>0</v>
      </c>
      <c r="K41" s="150">
        <f t="shared" si="9"/>
        <v>0</v>
      </c>
      <c r="L41" s="151">
        <f t="shared" si="9"/>
        <v>0</v>
      </c>
      <c r="M41" s="147"/>
      <c r="N41" s="147"/>
      <c r="O41" s="147"/>
    </row>
    <row r="42" spans="1:15" ht="15" customHeight="1" thickBot="1" x14ac:dyDescent="0.3">
      <c r="A42" s="36" t="s">
        <v>7</v>
      </c>
      <c r="B42" s="37">
        <f>SUM( C42:L42 )</f>
        <v>60</v>
      </c>
      <c r="C42" s="38">
        <f t="shared" ref="C42:L42" si="10">SUM( C$20:C$41 )</f>
        <v>20</v>
      </c>
      <c r="D42" s="38">
        <f t="shared" si="10"/>
        <v>20</v>
      </c>
      <c r="E42" s="38">
        <f t="shared" si="10"/>
        <v>20</v>
      </c>
      <c r="F42" s="38">
        <f t="shared" si="10"/>
        <v>0</v>
      </c>
      <c r="G42" s="38">
        <f t="shared" si="10"/>
        <v>0</v>
      </c>
      <c r="H42" s="38">
        <f t="shared" si="10"/>
        <v>0</v>
      </c>
      <c r="I42" s="38">
        <f t="shared" si="10"/>
        <v>0</v>
      </c>
      <c r="J42" s="38">
        <f t="shared" si="10"/>
        <v>0</v>
      </c>
      <c r="K42" s="38">
        <f t="shared" si="10"/>
        <v>0</v>
      </c>
      <c r="L42" s="39">
        <f t="shared" si="10"/>
        <v>0</v>
      </c>
      <c r="M42" s="147"/>
      <c r="N42" s="147"/>
      <c r="O42" s="147"/>
    </row>
    <row r="43" spans="1:15" ht="3" customHeight="1" thickBot="1" x14ac:dyDescent="0.3">
      <c r="A43" s="40"/>
      <c r="B43" s="41"/>
      <c r="C43" s="42">
        <v>9.5000009536743164</v>
      </c>
      <c r="D43" s="42">
        <v>1.3636363744735718</v>
      </c>
      <c r="E43" s="41">
        <v>1.3636363744735718</v>
      </c>
      <c r="F43" s="41"/>
      <c r="G43" s="41"/>
      <c r="H43" s="41"/>
      <c r="I43" s="41"/>
      <c r="J43" s="41"/>
      <c r="K43" s="41"/>
      <c r="L43" s="43"/>
      <c r="M43" s="147"/>
      <c r="N43" s="147"/>
      <c r="O43" s="147"/>
    </row>
    <row r="44" spans="1:15" ht="12" customHeight="1" x14ac:dyDescent="0.2">
      <c r="A44" s="27"/>
      <c r="B44" s="27"/>
      <c r="C44" s="44"/>
      <c r="D44" s="44"/>
      <c r="E44" s="27"/>
      <c r="F44" s="27"/>
      <c r="G44" s="27"/>
      <c r="H44" s="27"/>
      <c r="I44" s="27"/>
      <c r="J44" s="27"/>
      <c r="K44" s="27"/>
      <c r="L44" s="27"/>
    </row>
    <row r="45" spans="1:15" ht="12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</row>
    <row r="46" spans="1:15" ht="12" customHeight="1" x14ac:dyDescent="0.2">
      <c r="A46" s="45" t="s">
        <v>8</v>
      </c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</row>
    <row r="47" spans="1:15" ht="12" customHeight="1" x14ac:dyDescent="0.25">
      <c r="A47" s="46" t="s">
        <v>9</v>
      </c>
      <c r="B47" s="47" t="s">
        <v>10</v>
      </c>
      <c r="C47" s="48" t="s">
        <v>11</v>
      </c>
      <c r="D47" s="48"/>
      <c r="E47" s="48"/>
      <c r="F47" s="46"/>
      <c r="G47" s="48"/>
      <c r="H47" s="48"/>
      <c r="I47" s="48"/>
      <c r="J47" s="48"/>
      <c r="K47" s="46"/>
      <c r="L47" s="46"/>
    </row>
    <row r="48" spans="1:15" ht="12" customHeight="1" x14ac:dyDescent="0.25">
      <c r="A48" s="46" t="s">
        <v>12</v>
      </c>
      <c r="B48" s="47" t="s">
        <v>13</v>
      </c>
      <c r="C48" s="46" t="s">
        <v>14</v>
      </c>
      <c r="D48" s="46"/>
      <c r="E48" s="46"/>
      <c r="F48" s="46"/>
      <c r="G48" s="46"/>
      <c r="H48" s="46"/>
      <c r="I48" s="46"/>
      <c r="J48" s="46"/>
      <c r="K48" s="46"/>
      <c r="L48" s="46"/>
    </row>
    <row r="49" spans="1:12" ht="12" customHeight="1" x14ac:dyDescent="0.2">
      <c r="A49" s="46"/>
      <c r="B49" s="46" t="s">
        <v>15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</row>
    <row r="50" spans="1:12" ht="12" customHeight="1" x14ac:dyDescent="0.25">
      <c r="A50" s="46"/>
      <c r="B50" s="47" t="s">
        <v>16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</row>
    <row r="51" spans="1:12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tabSelected="1" workbookViewId="0">
      <pane ySplit="4" topLeftCell="A5" activePane="bottomLeft" state="frozenSplit"/>
      <selection pane="bottomLeft" activeCell="G38" sqref="G38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221" t="str">
        <f>Calculations!A43</f>
        <v>&lt;Your Team Name Here&gt;
Sprint Backlog -- Embrace Reality</v>
      </c>
      <c r="B1" s="222"/>
      <c r="C1" s="222"/>
      <c r="D1" s="222"/>
      <c r="E1" s="223" t="s">
        <v>31</v>
      </c>
      <c r="F1" s="224"/>
      <c r="G1" s="225"/>
      <c r="H1" s="49">
        <v>1</v>
      </c>
      <c r="I1" s="50">
        <f t="shared" ref="I1:AC1" si="0">H1+1</f>
        <v>2</v>
      </c>
      <c r="J1" s="50">
        <f t="shared" si="0"/>
        <v>3</v>
      </c>
      <c r="K1" s="50">
        <f t="shared" si="0"/>
        <v>4</v>
      </c>
      <c r="L1" s="50">
        <f t="shared" si="0"/>
        <v>5</v>
      </c>
      <c r="M1" s="50">
        <f t="shared" si="0"/>
        <v>6</v>
      </c>
      <c r="N1" s="50">
        <f t="shared" si="0"/>
        <v>7</v>
      </c>
      <c r="O1" s="50">
        <f t="shared" si="0"/>
        <v>8</v>
      </c>
      <c r="P1" s="50">
        <f t="shared" si="0"/>
        <v>9</v>
      </c>
      <c r="Q1" s="50">
        <f t="shared" si="0"/>
        <v>10</v>
      </c>
      <c r="R1" s="50">
        <f t="shared" si="0"/>
        <v>11</v>
      </c>
      <c r="S1" s="50">
        <f t="shared" si="0"/>
        <v>12</v>
      </c>
      <c r="T1" s="50">
        <f t="shared" si="0"/>
        <v>13</v>
      </c>
      <c r="U1" s="50">
        <f t="shared" si="0"/>
        <v>14</v>
      </c>
      <c r="V1" s="50">
        <f t="shared" si="0"/>
        <v>15</v>
      </c>
      <c r="W1" s="50">
        <f t="shared" si="0"/>
        <v>16</v>
      </c>
      <c r="X1" s="50">
        <f t="shared" si="0"/>
        <v>17</v>
      </c>
      <c r="Y1" s="50">
        <f t="shared" si="0"/>
        <v>18</v>
      </c>
      <c r="Z1" s="50">
        <f t="shared" si="0"/>
        <v>19</v>
      </c>
      <c r="AA1" s="50">
        <f t="shared" si="0"/>
        <v>20</v>
      </c>
      <c r="AB1" s="50">
        <f t="shared" si="0"/>
        <v>21</v>
      </c>
      <c r="AC1" s="50">
        <f t="shared" si="0"/>
        <v>22</v>
      </c>
    </row>
    <row r="2" spans="1:29" ht="60" customHeight="1" x14ac:dyDescent="0.2">
      <c r="A2" s="51" t="s">
        <v>32</v>
      </c>
      <c r="B2" s="51" t="s">
        <v>33</v>
      </c>
      <c r="C2" s="51" t="s">
        <v>34</v>
      </c>
      <c r="D2" s="52" t="s">
        <v>35</v>
      </c>
      <c r="E2" s="52" t="s">
        <v>36</v>
      </c>
      <c r="F2" s="53" t="s">
        <v>37</v>
      </c>
      <c r="G2" s="54" t="s">
        <v>38</v>
      </c>
      <c r="H2" s="55">
        <f>'Sprint Backlog'!SprintStartDate</f>
        <v>44636</v>
      </c>
      <c r="I2" s="55">
        <f t="shared" ref="I2:AC2" si="1">H2+1</f>
        <v>44637</v>
      </c>
      <c r="J2" s="55">
        <f t="shared" si="1"/>
        <v>44638</v>
      </c>
      <c r="K2" s="55">
        <f t="shared" si="1"/>
        <v>44639</v>
      </c>
      <c r="L2" s="55">
        <f t="shared" si="1"/>
        <v>44640</v>
      </c>
      <c r="M2" s="55">
        <f t="shared" si="1"/>
        <v>44641</v>
      </c>
      <c r="N2" s="55">
        <f t="shared" si="1"/>
        <v>44642</v>
      </c>
      <c r="O2" s="55">
        <f t="shared" si="1"/>
        <v>44643</v>
      </c>
      <c r="P2" s="55">
        <f t="shared" si="1"/>
        <v>44644</v>
      </c>
      <c r="Q2" s="55">
        <f t="shared" si="1"/>
        <v>44645</v>
      </c>
      <c r="R2" s="55">
        <f t="shared" si="1"/>
        <v>44646</v>
      </c>
      <c r="S2" s="55">
        <f t="shared" si="1"/>
        <v>44647</v>
      </c>
      <c r="T2" s="55">
        <f t="shared" si="1"/>
        <v>44648</v>
      </c>
      <c r="U2" s="55">
        <f t="shared" si="1"/>
        <v>44649</v>
      </c>
      <c r="V2" s="55">
        <f t="shared" si="1"/>
        <v>44650</v>
      </c>
      <c r="W2" s="55">
        <f t="shared" si="1"/>
        <v>44651</v>
      </c>
      <c r="X2" s="55">
        <f t="shared" si="1"/>
        <v>44652</v>
      </c>
      <c r="Y2" s="55">
        <f t="shared" si="1"/>
        <v>44653</v>
      </c>
      <c r="Z2" s="55">
        <f t="shared" si="1"/>
        <v>44654</v>
      </c>
      <c r="AA2" s="55">
        <f t="shared" si="1"/>
        <v>44655</v>
      </c>
      <c r="AB2" s="55">
        <f t="shared" si="1"/>
        <v>44656</v>
      </c>
      <c r="AC2" s="55">
        <f t="shared" si="1"/>
        <v>44657</v>
      </c>
    </row>
    <row r="3" spans="1:29" ht="30.75" customHeight="1" x14ac:dyDescent="0.25">
      <c r="A3" s="56" t="b">
        <v>1</v>
      </c>
      <c r="B3" s="56" t="b">
        <v>1</v>
      </c>
      <c r="C3" s="218" t="s">
        <v>39</v>
      </c>
      <c r="D3" s="219"/>
      <c r="E3" s="219"/>
      <c r="F3" s="220"/>
      <c r="G3" s="57">
        <f>DailyWorkRemaining( $D$5:$D$65536, [0]!TeamMembersInitials, G$5:G$65536 )</f>
        <v>60</v>
      </c>
      <c r="H3" s="58">
        <f>DailyWorkRemaining( $D$5:$D$65536, [0]!TeamMembersInitials, H$5:H$65536 )</f>
        <v>60</v>
      </c>
      <c r="I3" s="58">
        <f>DailyWorkRemaining( $D$5:$D$65536, [0]!TeamMembersInitials, I$5:I$65536 )</f>
        <v>60</v>
      </c>
      <c r="J3" s="58">
        <f>DailyWorkRemaining( $D$5:$D$65536, [0]!TeamMembersInitials, J$5:J$65536 )</f>
        <v>60</v>
      </c>
      <c r="K3" s="58">
        <f>DailyWorkRemaining( $D$5:$D$65536, [0]!TeamMembersInitials, K$5:K$65536 )</f>
        <v>60</v>
      </c>
      <c r="L3" s="58">
        <f>DailyWorkRemaining( $D$5:$D$65536, [0]!TeamMembersInitials, L$5:L$65536 )</f>
        <v>60</v>
      </c>
      <c r="M3" s="58">
        <f>DailyWorkRemaining( $D$5:$D$65536, [0]!TeamMembersInitials, M$5:M$65536 )</f>
        <v>60</v>
      </c>
      <c r="N3" s="58">
        <f>DailyWorkRemaining( $D$5:$D$65536, [0]!TeamMembersInitials, N$5:N$65536 )</f>
        <v>60</v>
      </c>
      <c r="O3" s="58">
        <f>DailyWorkRemaining( $D$5:$D$65536, [0]!TeamMembersInitials, O$5:O$65536 )</f>
        <v>59</v>
      </c>
      <c r="P3" s="58">
        <f>DailyWorkRemaining( $D$5:$D$65536, [0]!TeamMembersInitials, P$5:P$65536 )</f>
        <v>59</v>
      </c>
      <c r="Q3" s="58">
        <f>DailyWorkRemaining( $D$5:$D$65536, [0]!TeamMembersInitials, Q$5:Q$65536 )</f>
        <v>59</v>
      </c>
      <c r="R3" s="58">
        <f>DailyWorkRemaining( $D$5:$D$65536, [0]!TeamMembersInitials, R$5:R$65536 )</f>
        <v>59</v>
      </c>
      <c r="S3" s="58">
        <f>DailyWorkRemaining( $D$5:$D$65536, [0]!TeamMembersInitials, S$5:S$65536 )</f>
        <v>59</v>
      </c>
      <c r="T3" s="58">
        <f>DailyWorkRemaining( $D$5:$D$65536, [0]!TeamMembersInitials, T$5:T$65536 )</f>
        <v>59</v>
      </c>
      <c r="U3" s="58">
        <f>DailyWorkRemaining( $D$5:$D$65536, [0]!TeamMembersInitials, U$5:U$65536 )</f>
        <v>59</v>
      </c>
      <c r="V3" s="58">
        <f>DailyWorkRemaining( $D$5:$D$65536, [0]!TeamMembersInitials, V$5:V$65536 )</f>
        <v>59</v>
      </c>
      <c r="W3" s="58">
        <f>DailyWorkRemaining( $D$5:$D$65536, [0]!TeamMembersInitials, W$5:W$65536 )</f>
        <v>59</v>
      </c>
      <c r="X3" s="58">
        <f>DailyWorkRemaining( $D$5:$D$65536, [0]!TeamMembersInitials, X$5:X$65536 )</f>
        <v>59</v>
      </c>
      <c r="Y3" s="58">
        <f>DailyWorkRemaining( $D$5:$D$65536, [0]!TeamMembersInitials, Y$5:Y$65536 )</f>
        <v>59</v>
      </c>
      <c r="Z3" s="58">
        <f>DailyWorkRemaining( $D$5:$D$65536, [0]!TeamMembersInitials, Z$5:Z$65536 )</f>
        <v>59</v>
      </c>
      <c r="AA3" s="58">
        <f>DailyWorkRemaining( $D$5:$D$65536, [0]!TeamMembersInitials, AA$5:AA$65536 )</f>
        <v>59</v>
      </c>
      <c r="AB3" s="58">
        <f>DailyWorkRemaining( $D$5:$D$65536, [0]!TeamMembersInitials, AB$5:AB$65536 )</f>
        <v>59</v>
      </c>
      <c r="AC3" s="58">
        <f>DailyWorkRemaining( $D$5:$D$65536, [0]!TeamMembersInitials, AC$5:AC$65536 )</f>
        <v>59</v>
      </c>
    </row>
    <row r="4" spans="1:29" ht="15" customHeight="1" x14ac:dyDescent="0.25">
      <c r="A4" s="148"/>
      <c r="B4" s="149"/>
      <c r="C4" s="218" t="s">
        <v>40</v>
      </c>
      <c r="D4" s="219"/>
      <c r="E4" s="219"/>
      <c r="F4" s="219"/>
      <c r="G4" s="220"/>
      <c r="H4" s="59">
        <f t="shared" ref="H4:AC4" si="2">G3-H3</f>
        <v>0</v>
      </c>
      <c r="I4" s="59">
        <f t="shared" si="2"/>
        <v>0</v>
      </c>
      <c r="J4" s="59">
        <f t="shared" si="2"/>
        <v>0</v>
      </c>
      <c r="K4" s="59">
        <f t="shared" si="2"/>
        <v>0</v>
      </c>
      <c r="L4" s="59">
        <f t="shared" si="2"/>
        <v>0</v>
      </c>
      <c r="M4" s="59">
        <f t="shared" si="2"/>
        <v>0</v>
      </c>
      <c r="N4" s="59">
        <f t="shared" si="2"/>
        <v>0</v>
      </c>
      <c r="O4" s="59">
        <f t="shared" si="2"/>
        <v>1</v>
      </c>
      <c r="P4" s="59">
        <f t="shared" si="2"/>
        <v>0</v>
      </c>
      <c r="Q4" s="59">
        <f t="shared" si="2"/>
        <v>0</v>
      </c>
      <c r="R4" s="59">
        <f t="shared" si="2"/>
        <v>0</v>
      </c>
      <c r="S4" s="59">
        <f t="shared" si="2"/>
        <v>0</v>
      </c>
      <c r="T4" s="59">
        <f t="shared" si="2"/>
        <v>0</v>
      </c>
      <c r="U4" s="59">
        <f t="shared" si="2"/>
        <v>0</v>
      </c>
      <c r="V4" s="59">
        <f t="shared" si="2"/>
        <v>0</v>
      </c>
      <c r="W4" s="59">
        <f t="shared" si="2"/>
        <v>0</v>
      </c>
      <c r="X4" s="59">
        <f t="shared" si="2"/>
        <v>0</v>
      </c>
      <c r="Y4" s="59">
        <f t="shared" si="2"/>
        <v>0</v>
      </c>
      <c r="Z4" s="59">
        <f t="shared" si="2"/>
        <v>0</v>
      </c>
      <c r="AA4" s="59">
        <f t="shared" si="2"/>
        <v>0</v>
      </c>
      <c r="AB4" s="59">
        <f t="shared" si="2"/>
        <v>0</v>
      </c>
      <c r="AC4" s="59">
        <f t="shared" si="2"/>
        <v>0</v>
      </c>
    </row>
    <row r="5" spans="1:29" ht="26.4" x14ac:dyDescent="0.25">
      <c r="A5" s="154" t="s">
        <v>97</v>
      </c>
      <c r="B5" s="143" t="s">
        <v>98</v>
      </c>
      <c r="C5" s="143"/>
      <c r="D5" s="144" t="s">
        <v>99</v>
      </c>
      <c r="E5" s="165" t="s">
        <v>129</v>
      </c>
      <c r="F5" s="143"/>
      <c r="G5" s="164">
        <v>1</v>
      </c>
      <c r="H5" s="166">
        <v>1</v>
      </c>
      <c r="I5" s="166">
        <v>1</v>
      </c>
      <c r="J5" s="166">
        <v>1</v>
      </c>
      <c r="K5" s="166">
        <v>1</v>
      </c>
      <c r="L5" s="166">
        <v>1</v>
      </c>
      <c r="M5" s="166">
        <v>1</v>
      </c>
      <c r="N5" s="166">
        <v>1</v>
      </c>
      <c r="O5" s="166">
        <v>0</v>
      </c>
      <c r="P5" s="166">
        <v>0</v>
      </c>
      <c r="Q5" s="166">
        <v>0</v>
      </c>
      <c r="R5" s="166">
        <v>0</v>
      </c>
      <c r="S5" s="166">
        <v>0</v>
      </c>
      <c r="T5" s="166">
        <v>0</v>
      </c>
      <c r="U5" s="166">
        <v>0</v>
      </c>
      <c r="V5" s="166">
        <v>0</v>
      </c>
      <c r="W5" s="166">
        <v>0</v>
      </c>
      <c r="X5" s="166">
        <v>0</v>
      </c>
      <c r="Y5" s="166">
        <v>0</v>
      </c>
      <c r="Z5" s="166">
        <v>0</v>
      </c>
      <c r="AA5" s="166">
        <v>0</v>
      </c>
      <c r="AB5" s="166">
        <v>0</v>
      </c>
      <c r="AC5" s="166">
        <v>0</v>
      </c>
    </row>
    <row r="6" spans="1:29" ht="52.8" x14ac:dyDescent="0.25">
      <c r="A6" s="143"/>
      <c r="B6" s="143" t="s">
        <v>100</v>
      </c>
      <c r="C6" s="143"/>
      <c r="D6" s="144" t="s">
        <v>99</v>
      </c>
      <c r="E6" s="162" t="s">
        <v>128</v>
      </c>
      <c r="F6" s="143"/>
      <c r="G6" s="164">
        <v>2</v>
      </c>
      <c r="H6" s="163">
        <f t="shared" ref="H6:M6" si="3">G6</f>
        <v>2</v>
      </c>
      <c r="I6" s="163">
        <f t="shared" si="3"/>
        <v>2</v>
      </c>
      <c r="J6" s="163">
        <f t="shared" si="3"/>
        <v>2</v>
      </c>
      <c r="K6" s="163">
        <f t="shared" si="3"/>
        <v>2</v>
      </c>
      <c r="L6" s="163">
        <f t="shared" si="3"/>
        <v>2</v>
      </c>
      <c r="M6" s="163">
        <f t="shared" si="3"/>
        <v>2</v>
      </c>
      <c r="N6" s="166">
        <f t="shared" ref="N6" si="4">M6</f>
        <v>2</v>
      </c>
      <c r="O6" s="166">
        <f t="shared" ref="O6" si="5">N6</f>
        <v>2</v>
      </c>
      <c r="P6" s="166">
        <f t="shared" ref="P6" si="6">O6</f>
        <v>2</v>
      </c>
      <c r="Q6" s="166">
        <f t="shared" ref="Q6" si="7">P6</f>
        <v>2</v>
      </c>
      <c r="R6" s="166">
        <f t="shared" ref="R6" si="8">Q6</f>
        <v>2</v>
      </c>
      <c r="S6" s="166">
        <f t="shared" ref="S6" si="9">R6</f>
        <v>2</v>
      </c>
      <c r="T6" s="166">
        <f t="shared" ref="T6" si="10">S6</f>
        <v>2</v>
      </c>
      <c r="U6" s="166">
        <f t="shared" ref="U6" si="11">T6</f>
        <v>2</v>
      </c>
      <c r="V6" s="166">
        <f t="shared" ref="V6:AC6" si="12">U6</f>
        <v>2</v>
      </c>
      <c r="W6" s="166">
        <f t="shared" si="12"/>
        <v>2</v>
      </c>
      <c r="X6" s="166">
        <f t="shared" si="12"/>
        <v>2</v>
      </c>
      <c r="Y6" s="166">
        <f t="shared" si="12"/>
        <v>2</v>
      </c>
      <c r="Z6" s="166">
        <f t="shared" si="12"/>
        <v>2</v>
      </c>
      <c r="AA6" s="166">
        <f t="shared" si="12"/>
        <v>2</v>
      </c>
      <c r="AB6" s="166">
        <f t="shared" si="12"/>
        <v>2</v>
      </c>
      <c r="AC6" s="166">
        <f t="shared" si="12"/>
        <v>2</v>
      </c>
    </row>
    <row r="7" spans="1:29" ht="52.8" x14ac:dyDescent="0.25">
      <c r="A7" s="143"/>
      <c r="B7" s="143" t="s">
        <v>101</v>
      </c>
      <c r="C7" s="143"/>
      <c r="D7" s="144" t="s">
        <v>99</v>
      </c>
      <c r="E7" s="162" t="s">
        <v>128</v>
      </c>
      <c r="F7" s="143"/>
      <c r="G7" s="164">
        <v>1</v>
      </c>
      <c r="H7" s="163">
        <f t="shared" ref="H7:AC7" si="13">G7</f>
        <v>1</v>
      </c>
      <c r="I7" s="163">
        <f t="shared" si="13"/>
        <v>1</v>
      </c>
      <c r="J7" s="163">
        <f t="shared" si="13"/>
        <v>1</v>
      </c>
      <c r="K7" s="163">
        <f t="shared" si="13"/>
        <v>1</v>
      </c>
      <c r="L7" s="163">
        <f t="shared" si="13"/>
        <v>1</v>
      </c>
      <c r="M7" s="163">
        <f t="shared" si="13"/>
        <v>1</v>
      </c>
      <c r="N7" s="163">
        <f t="shared" si="13"/>
        <v>1</v>
      </c>
      <c r="O7" s="163">
        <f t="shared" si="13"/>
        <v>1</v>
      </c>
      <c r="P7" s="163">
        <f t="shared" si="13"/>
        <v>1</v>
      </c>
      <c r="Q7" s="163">
        <f t="shared" si="13"/>
        <v>1</v>
      </c>
      <c r="R7" s="163">
        <f t="shared" si="13"/>
        <v>1</v>
      </c>
      <c r="S7" s="163">
        <f t="shared" si="13"/>
        <v>1</v>
      </c>
      <c r="T7" s="163">
        <f t="shared" si="13"/>
        <v>1</v>
      </c>
      <c r="U7" s="163">
        <f t="shared" si="13"/>
        <v>1</v>
      </c>
      <c r="V7" s="163">
        <f t="shared" si="13"/>
        <v>1</v>
      </c>
      <c r="W7" s="163">
        <f t="shared" si="13"/>
        <v>1</v>
      </c>
      <c r="X7" s="163">
        <f t="shared" si="13"/>
        <v>1</v>
      </c>
      <c r="Y7" s="163">
        <f t="shared" si="13"/>
        <v>1</v>
      </c>
      <c r="Z7" s="163">
        <f t="shared" si="13"/>
        <v>1</v>
      </c>
      <c r="AA7" s="163">
        <f t="shared" si="13"/>
        <v>1</v>
      </c>
      <c r="AB7" s="163">
        <f t="shared" si="13"/>
        <v>1</v>
      </c>
      <c r="AC7" s="163">
        <f t="shared" si="13"/>
        <v>1</v>
      </c>
    </row>
    <row r="8" spans="1:29" ht="39.6" x14ac:dyDescent="0.25">
      <c r="A8" s="143"/>
      <c r="B8" s="143" t="s">
        <v>102</v>
      </c>
      <c r="C8" s="143"/>
      <c r="D8" s="144" t="s">
        <v>99</v>
      </c>
      <c r="E8" s="162" t="s">
        <v>128</v>
      </c>
      <c r="F8" s="143"/>
      <c r="G8" s="164">
        <v>3</v>
      </c>
      <c r="H8" s="163">
        <f t="shared" ref="H8:AC9" si="14">G8</f>
        <v>3</v>
      </c>
      <c r="I8" s="163">
        <f t="shared" si="14"/>
        <v>3</v>
      </c>
      <c r="J8" s="163">
        <f t="shared" si="14"/>
        <v>3</v>
      </c>
      <c r="K8" s="163">
        <f t="shared" si="14"/>
        <v>3</v>
      </c>
      <c r="L8" s="163">
        <f t="shared" si="14"/>
        <v>3</v>
      </c>
      <c r="M8" s="163">
        <f t="shared" si="14"/>
        <v>3</v>
      </c>
      <c r="N8" s="163">
        <f t="shared" si="14"/>
        <v>3</v>
      </c>
      <c r="O8" s="163">
        <f t="shared" si="14"/>
        <v>3</v>
      </c>
      <c r="P8" s="163">
        <f t="shared" si="14"/>
        <v>3</v>
      </c>
      <c r="Q8" s="163">
        <f t="shared" si="14"/>
        <v>3</v>
      </c>
      <c r="R8" s="163">
        <f t="shared" si="14"/>
        <v>3</v>
      </c>
      <c r="S8" s="163">
        <f t="shared" si="14"/>
        <v>3</v>
      </c>
      <c r="T8" s="163">
        <f t="shared" si="14"/>
        <v>3</v>
      </c>
      <c r="U8" s="163">
        <f t="shared" si="14"/>
        <v>3</v>
      </c>
      <c r="V8" s="163">
        <f t="shared" si="14"/>
        <v>3</v>
      </c>
      <c r="W8" s="163">
        <f t="shared" si="14"/>
        <v>3</v>
      </c>
      <c r="X8" s="163">
        <f t="shared" si="14"/>
        <v>3</v>
      </c>
      <c r="Y8" s="163">
        <f t="shared" si="14"/>
        <v>3</v>
      </c>
      <c r="Z8" s="163">
        <f t="shared" si="14"/>
        <v>3</v>
      </c>
      <c r="AA8" s="163">
        <f t="shared" si="14"/>
        <v>3</v>
      </c>
      <c r="AB8" s="163">
        <f t="shared" si="14"/>
        <v>3</v>
      </c>
      <c r="AC8" s="163">
        <f t="shared" si="14"/>
        <v>3</v>
      </c>
    </row>
    <row r="9" spans="1:29" ht="39.6" x14ac:dyDescent="0.25">
      <c r="A9" s="143" t="s">
        <v>103</v>
      </c>
      <c r="B9" s="143" t="s">
        <v>104</v>
      </c>
      <c r="C9" s="143"/>
      <c r="D9" s="144" t="s">
        <v>105</v>
      </c>
      <c r="E9" s="162" t="s">
        <v>128</v>
      </c>
      <c r="F9" s="143"/>
      <c r="G9" s="164">
        <v>1</v>
      </c>
      <c r="H9" s="163">
        <f t="shared" ref="H9:M9" si="15">G9</f>
        <v>1</v>
      </c>
      <c r="I9" s="163">
        <f t="shared" si="15"/>
        <v>1</v>
      </c>
      <c r="J9" s="163">
        <f t="shared" si="15"/>
        <v>1</v>
      </c>
      <c r="K9" s="163">
        <f t="shared" si="15"/>
        <v>1</v>
      </c>
      <c r="L9" s="163">
        <f t="shared" si="15"/>
        <v>1</v>
      </c>
      <c r="M9" s="163">
        <f t="shared" si="15"/>
        <v>1</v>
      </c>
      <c r="N9" s="166">
        <f t="shared" si="14"/>
        <v>1</v>
      </c>
      <c r="O9" s="166">
        <f t="shared" si="14"/>
        <v>1</v>
      </c>
      <c r="P9" s="166">
        <f t="shared" si="14"/>
        <v>1</v>
      </c>
      <c r="Q9" s="166">
        <f t="shared" si="14"/>
        <v>1</v>
      </c>
      <c r="R9" s="166">
        <f t="shared" si="14"/>
        <v>1</v>
      </c>
      <c r="S9" s="166">
        <f t="shared" si="14"/>
        <v>1</v>
      </c>
      <c r="T9" s="166">
        <f t="shared" si="14"/>
        <v>1</v>
      </c>
      <c r="U9" s="166">
        <f t="shared" si="14"/>
        <v>1</v>
      </c>
      <c r="V9" s="166">
        <f t="shared" si="14"/>
        <v>1</v>
      </c>
      <c r="W9" s="166">
        <f t="shared" si="14"/>
        <v>1</v>
      </c>
      <c r="X9" s="166">
        <f t="shared" si="14"/>
        <v>1</v>
      </c>
      <c r="Y9" s="166">
        <f t="shared" si="14"/>
        <v>1</v>
      </c>
      <c r="Z9" s="166">
        <f t="shared" si="14"/>
        <v>1</v>
      </c>
      <c r="AA9" s="166">
        <f t="shared" si="14"/>
        <v>1</v>
      </c>
      <c r="AB9" s="166">
        <f t="shared" si="14"/>
        <v>1</v>
      </c>
      <c r="AC9" s="166">
        <f t="shared" si="14"/>
        <v>1</v>
      </c>
    </row>
    <row r="10" spans="1:29" ht="52.8" x14ac:dyDescent="0.25">
      <c r="A10" s="143"/>
      <c r="B10" s="143" t="s">
        <v>106</v>
      </c>
      <c r="C10" s="143"/>
      <c r="D10" s="144" t="s">
        <v>105</v>
      </c>
      <c r="E10" s="162" t="s">
        <v>128</v>
      </c>
      <c r="F10" s="143"/>
      <c r="G10" s="164">
        <v>3</v>
      </c>
      <c r="H10" s="163">
        <f t="shared" ref="H10:AC10" si="16">G10</f>
        <v>3</v>
      </c>
      <c r="I10" s="163">
        <f t="shared" si="16"/>
        <v>3</v>
      </c>
      <c r="J10" s="163">
        <f t="shared" si="16"/>
        <v>3</v>
      </c>
      <c r="K10" s="163">
        <f t="shared" si="16"/>
        <v>3</v>
      </c>
      <c r="L10" s="163">
        <f t="shared" si="16"/>
        <v>3</v>
      </c>
      <c r="M10" s="163">
        <f t="shared" si="16"/>
        <v>3</v>
      </c>
      <c r="N10" s="163">
        <f t="shared" si="16"/>
        <v>3</v>
      </c>
      <c r="O10" s="163">
        <f t="shared" si="16"/>
        <v>3</v>
      </c>
      <c r="P10" s="163">
        <f t="shared" si="16"/>
        <v>3</v>
      </c>
      <c r="Q10" s="163">
        <f t="shared" si="16"/>
        <v>3</v>
      </c>
      <c r="R10" s="163">
        <f t="shared" si="16"/>
        <v>3</v>
      </c>
      <c r="S10" s="163">
        <f t="shared" si="16"/>
        <v>3</v>
      </c>
      <c r="T10" s="163">
        <f t="shared" si="16"/>
        <v>3</v>
      </c>
      <c r="U10" s="163">
        <f t="shared" si="16"/>
        <v>3</v>
      </c>
      <c r="V10" s="163">
        <f t="shared" si="16"/>
        <v>3</v>
      </c>
      <c r="W10" s="163">
        <f t="shared" si="16"/>
        <v>3</v>
      </c>
      <c r="X10" s="163">
        <f t="shared" si="16"/>
        <v>3</v>
      </c>
      <c r="Y10" s="163">
        <f t="shared" si="16"/>
        <v>3</v>
      </c>
      <c r="Z10" s="163">
        <f t="shared" si="16"/>
        <v>3</v>
      </c>
      <c r="AA10" s="163">
        <f t="shared" si="16"/>
        <v>3</v>
      </c>
      <c r="AB10" s="163">
        <f t="shared" si="16"/>
        <v>3</v>
      </c>
      <c r="AC10" s="163">
        <f t="shared" si="16"/>
        <v>3</v>
      </c>
    </row>
    <row r="11" spans="1:29" ht="39.6" x14ac:dyDescent="0.25">
      <c r="A11" s="143"/>
      <c r="B11" s="143" t="s">
        <v>107</v>
      </c>
      <c r="C11" s="143"/>
      <c r="D11" s="144" t="s">
        <v>105</v>
      </c>
      <c r="E11" s="162" t="s">
        <v>128</v>
      </c>
      <c r="F11" s="143"/>
      <c r="G11" s="164">
        <v>2</v>
      </c>
      <c r="H11" s="163">
        <f t="shared" ref="H11:AC11" si="17">G11</f>
        <v>2</v>
      </c>
      <c r="I11" s="163">
        <f t="shared" si="17"/>
        <v>2</v>
      </c>
      <c r="J11" s="163">
        <f t="shared" si="17"/>
        <v>2</v>
      </c>
      <c r="K11" s="163">
        <f t="shared" si="17"/>
        <v>2</v>
      </c>
      <c r="L11" s="163">
        <f t="shared" si="17"/>
        <v>2</v>
      </c>
      <c r="M11" s="163">
        <f t="shared" si="17"/>
        <v>2</v>
      </c>
      <c r="N11" s="163">
        <f t="shared" si="17"/>
        <v>2</v>
      </c>
      <c r="O11" s="163">
        <f t="shared" si="17"/>
        <v>2</v>
      </c>
      <c r="P11" s="163">
        <f t="shared" si="17"/>
        <v>2</v>
      </c>
      <c r="Q11" s="163">
        <f t="shared" si="17"/>
        <v>2</v>
      </c>
      <c r="R11" s="163">
        <f t="shared" si="17"/>
        <v>2</v>
      </c>
      <c r="S11" s="163">
        <f t="shared" si="17"/>
        <v>2</v>
      </c>
      <c r="T11" s="163">
        <f t="shared" si="17"/>
        <v>2</v>
      </c>
      <c r="U11" s="163">
        <f t="shared" si="17"/>
        <v>2</v>
      </c>
      <c r="V11" s="163">
        <f t="shared" si="17"/>
        <v>2</v>
      </c>
      <c r="W11" s="163">
        <f t="shared" si="17"/>
        <v>2</v>
      </c>
      <c r="X11" s="163">
        <f t="shared" si="17"/>
        <v>2</v>
      </c>
      <c r="Y11" s="163">
        <f t="shared" si="17"/>
        <v>2</v>
      </c>
      <c r="Z11" s="163">
        <f t="shared" si="17"/>
        <v>2</v>
      </c>
      <c r="AA11" s="163">
        <f t="shared" si="17"/>
        <v>2</v>
      </c>
      <c r="AB11" s="163">
        <f t="shared" si="17"/>
        <v>2</v>
      </c>
      <c r="AC11" s="163">
        <f t="shared" si="17"/>
        <v>2</v>
      </c>
    </row>
    <row r="12" spans="1:29" ht="39.6" x14ac:dyDescent="0.25">
      <c r="A12" s="143" t="s">
        <v>108</v>
      </c>
      <c r="B12" s="143" t="s">
        <v>109</v>
      </c>
      <c r="C12" s="143"/>
      <c r="D12" s="144" t="s">
        <v>110</v>
      </c>
      <c r="E12" s="162" t="s">
        <v>128</v>
      </c>
      <c r="F12" s="143"/>
      <c r="G12" s="164">
        <v>1</v>
      </c>
      <c r="H12" s="163">
        <f t="shared" ref="H12:AC12" si="18">G12</f>
        <v>1</v>
      </c>
      <c r="I12" s="163">
        <f t="shared" si="18"/>
        <v>1</v>
      </c>
      <c r="J12" s="163">
        <f t="shared" si="18"/>
        <v>1</v>
      </c>
      <c r="K12" s="163">
        <f t="shared" si="18"/>
        <v>1</v>
      </c>
      <c r="L12" s="163">
        <f t="shared" si="18"/>
        <v>1</v>
      </c>
      <c r="M12" s="163">
        <f t="shared" si="18"/>
        <v>1</v>
      </c>
      <c r="N12" s="163">
        <f t="shared" si="18"/>
        <v>1</v>
      </c>
      <c r="O12" s="163">
        <f t="shared" si="18"/>
        <v>1</v>
      </c>
      <c r="P12" s="163">
        <f t="shared" si="18"/>
        <v>1</v>
      </c>
      <c r="Q12" s="163">
        <f t="shared" si="18"/>
        <v>1</v>
      </c>
      <c r="R12" s="163">
        <f t="shared" si="18"/>
        <v>1</v>
      </c>
      <c r="S12" s="163">
        <f t="shared" si="18"/>
        <v>1</v>
      </c>
      <c r="T12" s="163">
        <f t="shared" si="18"/>
        <v>1</v>
      </c>
      <c r="U12" s="163">
        <f t="shared" si="18"/>
        <v>1</v>
      </c>
      <c r="V12" s="163">
        <f t="shared" si="18"/>
        <v>1</v>
      </c>
      <c r="W12" s="163">
        <f t="shared" si="18"/>
        <v>1</v>
      </c>
      <c r="X12" s="163">
        <f t="shared" si="18"/>
        <v>1</v>
      </c>
      <c r="Y12" s="163">
        <f t="shared" si="18"/>
        <v>1</v>
      </c>
      <c r="Z12" s="163">
        <f t="shared" si="18"/>
        <v>1</v>
      </c>
      <c r="AA12" s="163">
        <f t="shared" si="18"/>
        <v>1</v>
      </c>
      <c r="AB12" s="163">
        <f t="shared" si="18"/>
        <v>1</v>
      </c>
      <c r="AC12" s="163">
        <f t="shared" si="18"/>
        <v>1</v>
      </c>
    </row>
    <row r="13" spans="1:29" ht="26.4" x14ac:dyDescent="0.25">
      <c r="A13" s="143"/>
      <c r="B13" s="143" t="s">
        <v>111</v>
      </c>
      <c r="C13" s="143"/>
      <c r="D13" s="144" t="s">
        <v>110</v>
      </c>
      <c r="E13" s="162" t="s">
        <v>128</v>
      </c>
      <c r="F13" s="143"/>
      <c r="G13" s="164">
        <v>2</v>
      </c>
      <c r="H13" s="163">
        <f t="shared" ref="H13:AC13" si="19">G13</f>
        <v>2</v>
      </c>
      <c r="I13" s="163">
        <f t="shared" si="19"/>
        <v>2</v>
      </c>
      <c r="J13" s="163">
        <f t="shared" si="19"/>
        <v>2</v>
      </c>
      <c r="K13" s="163">
        <f t="shared" si="19"/>
        <v>2</v>
      </c>
      <c r="L13" s="163">
        <f t="shared" si="19"/>
        <v>2</v>
      </c>
      <c r="M13" s="163">
        <f t="shared" si="19"/>
        <v>2</v>
      </c>
      <c r="N13" s="163">
        <f t="shared" si="19"/>
        <v>2</v>
      </c>
      <c r="O13" s="163">
        <f t="shared" si="19"/>
        <v>2</v>
      </c>
      <c r="P13" s="163">
        <f t="shared" si="19"/>
        <v>2</v>
      </c>
      <c r="Q13" s="163">
        <f t="shared" si="19"/>
        <v>2</v>
      </c>
      <c r="R13" s="163">
        <f t="shared" si="19"/>
        <v>2</v>
      </c>
      <c r="S13" s="163">
        <f t="shared" si="19"/>
        <v>2</v>
      </c>
      <c r="T13" s="163">
        <f t="shared" si="19"/>
        <v>2</v>
      </c>
      <c r="U13" s="163">
        <f t="shared" si="19"/>
        <v>2</v>
      </c>
      <c r="V13" s="163">
        <f t="shared" si="19"/>
        <v>2</v>
      </c>
      <c r="W13" s="163">
        <f t="shared" si="19"/>
        <v>2</v>
      </c>
      <c r="X13" s="163">
        <f t="shared" si="19"/>
        <v>2</v>
      </c>
      <c r="Y13" s="163">
        <f t="shared" si="19"/>
        <v>2</v>
      </c>
      <c r="Z13" s="163">
        <f t="shared" si="19"/>
        <v>2</v>
      </c>
      <c r="AA13" s="163">
        <f t="shared" si="19"/>
        <v>2</v>
      </c>
      <c r="AB13" s="163">
        <f t="shared" si="19"/>
        <v>2</v>
      </c>
      <c r="AC13" s="163">
        <f t="shared" si="19"/>
        <v>2</v>
      </c>
    </row>
    <row r="14" spans="1:29" ht="39.6" x14ac:dyDescent="0.25">
      <c r="A14" s="143"/>
      <c r="B14" s="143" t="s">
        <v>112</v>
      </c>
      <c r="C14" s="143"/>
      <c r="D14" s="144" t="s">
        <v>110</v>
      </c>
      <c r="E14" s="162" t="s">
        <v>128</v>
      </c>
      <c r="F14" s="143"/>
      <c r="G14" s="164">
        <v>3</v>
      </c>
      <c r="H14" s="163">
        <f t="shared" ref="H14:AC14" si="20">G14</f>
        <v>3</v>
      </c>
      <c r="I14" s="163">
        <f t="shared" si="20"/>
        <v>3</v>
      </c>
      <c r="J14" s="163">
        <f t="shared" si="20"/>
        <v>3</v>
      </c>
      <c r="K14" s="163">
        <f t="shared" si="20"/>
        <v>3</v>
      </c>
      <c r="L14" s="163">
        <f t="shared" si="20"/>
        <v>3</v>
      </c>
      <c r="M14" s="163">
        <f t="shared" si="20"/>
        <v>3</v>
      </c>
      <c r="N14" s="163">
        <f t="shared" si="20"/>
        <v>3</v>
      </c>
      <c r="O14" s="163">
        <f t="shared" si="20"/>
        <v>3</v>
      </c>
      <c r="P14" s="163">
        <f t="shared" si="20"/>
        <v>3</v>
      </c>
      <c r="Q14" s="163">
        <f t="shared" si="20"/>
        <v>3</v>
      </c>
      <c r="R14" s="163">
        <f t="shared" si="20"/>
        <v>3</v>
      </c>
      <c r="S14" s="163">
        <f t="shared" si="20"/>
        <v>3</v>
      </c>
      <c r="T14" s="163">
        <f t="shared" si="20"/>
        <v>3</v>
      </c>
      <c r="U14" s="163">
        <f t="shared" si="20"/>
        <v>3</v>
      </c>
      <c r="V14" s="163">
        <f t="shared" si="20"/>
        <v>3</v>
      </c>
      <c r="W14" s="163">
        <f t="shared" si="20"/>
        <v>3</v>
      </c>
      <c r="X14" s="163">
        <f t="shared" si="20"/>
        <v>3</v>
      </c>
      <c r="Y14" s="163">
        <f t="shared" si="20"/>
        <v>3</v>
      </c>
      <c r="Z14" s="163">
        <f t="shared" si="20"/>
        <v>3</v>
      </c>
      <c r="AA14" s="163">
        <f t="shared" si="20"/>
        <v>3</v>
      </c>
      <c r="AB14" s="163">
        <f t="shared" si="20"/>
        <v>3</v>
      </c>
      <c r="AC14" s="163">
        <f t="shared" si="20"/>
        <v>3</v>
      </c>
    </row>
    <row r="15" spans="1:29" ht="39.6" x14ac:dyDescent="0.25">
      <c r="A15" s="143" t="s">
        <v>113</v>
      </c>
      <c r="B15" s="143" t="s">
        <v>114</v>
      </c>
      <c r="C15" s="143"/>
      <c r="D15" s="144" t="s">
        <v>99</v>
      </c>
      <c r="E15" s="162" t="s">
        <v>128</v>
      </c>
      <c r="F15" s="143"/>
      <c r="G15" s="164">
        <v>1</v>
      </c>
      <c r="H15" s="163">
        <f t="shared" ref="H15:AC15" si="21">G15</f>
        <v>1</v>
      </c>
      <c r="I15" s="163">
        <f t="shared" si="21"/>
        <v>1</v>
      </c>
      <c r="J15" s="163">
        <f t="shared" si="21"/>
        <v>1</v>
      </c>
      <c r="K15" s="163">
        <f t="shared" si="21"/>
        <v>1</v>
      </c>
      <c r="L15" s="163">
        <f t="shared" si="21"/>
        <v>1</v>
      </c>
      <c r="M15" s="163">
        <f t="shared" si="21"/>
        <v>1</v>
      </c>
      <c r="N15" s="163">
        <f t="shared" si="21"/>
        <v>1</v>
      </c>
      <c r="O15" s="163">
        <f t="shared" si="21"/>
        <v>1</v>
      </c>
      <c r="P15" s="163">
        <f t="shared" si="21"/>
        <v>1</v>
      </c>
      <c r="Q15" s="163">
        <f t="shared" si="21"/>
        <v>1</v>
      </c>
      <c r="R15" s="163">
        <f t="shared" si="21"/>
        <v>1</v>
      </c>
      <c r="S15" s="163">
        <f t="shared" si="21"/>
        <v>1</v>
      </c>
      <c r="T15" s="163">
        <f t="shared" si="21"/>
        <v>1</v>
      </c>
      <c r="U15" s="163">
        <f t="shared" si="21"/>
        <v>1</v>
      </c>
      <c r="V15" s="163">
        <f t="shared" si="21"/>
        <v>1</v>
      </c>
      <c r="W15" s="163">
        <f t="shared" si="21"/>
        <v>1</v>
      </c>
      <c r="X15" s="163">
        <f t="shared" si="21"/>
        <v>1</v>
      </c>
      <c r="Y15" s="163">
        <f t="shared" si="21"/>
        <v>1</v>
      </c>
      <c r="Z15" s="163">
        <f t="shared" si="21"/>
        <v>1</v>
      </c>
      <c r="AA15" s="163">
        <f t="shared" si="21"/>
        <v>1</v>
      </c>
      <c r="AB15" s="163">
        <f t="shared" si="21"/>
        <v>1</v>
      </c>
      <c r="AC15" s="163">
        <f t="shared" si="21"/>
        <v>1</v>
      </c>
    </row>
    <row r="16" spans="1:29" ht="39.6" x14ac:dyDescent="0.25">
      <c r="A16" s="143"/>
      <c r="B16" s="143" t="s">
        <v>115</v>
      </c>
      <c r="C16" s="143"/>
      <c r="D16" s="144" t="s">
        <v>99</v>
      </c>
      <c r="E16" s="162" t="s">
        <v>128</v>
      </c>
      <c r="F16" s="143"/>
      <c r="G16" s="164">
        <v>2</v>
      </c>
      <c r="H16" s="163">
        <f t="shared" ref="H16:AC16" si="22">G16</f>
        <v>2</v>
      </c>
      <c r="I16" s="163">
        <f t="shared" si="22"/>
        <v>2</v>
      </c>
      <c r="J16" s="163">
        <f t="shared" si="22"/>
        <v>2</v>
      </c>
      <c r="K16" s="163">
        <f t="shared" si="22"/>
        <v>2</v>
      </c>
      <c r="L16" s="163">
        <f t="shared" si="22"/>
        <v>2</v>
      </c>
      <c r="M16" s="163">
        <f t="shared" si="22"/>
        <v>2</v>
      </c>
      <c r="N16" s="163">
        <f t="shared" si="22"/>
        <v>2</v>
      </c>
      <c r="O16" s="163">
        <f t="shared" si="22"/>
        <v>2</v>
      </c>
      <c r="P16" s="163">
        <f t="shared" si="22"/>
        <v>2</v>
      </c>
      <c r="Q16" s="163">
        <f t="shared" si="22"/>
        <v>2</v>
      </c>
      <c r="R16" s="163">
        <f t="shared" si="22"/>
        <v>2</v>
      </c>
      <c r="S16" s="163">
        <f t="shared" si="22"/>
        <v>2</v>
      </c>
      <c r="T16" s="163">
        <f t="shared" si="22"/>
        <v>2</v>
      </c>
      <c r="U16" s="163">
        <f t="shared" si="22"/>
        <v>2</v>
      </c>
      <c r="V16" s="163">
        <f t="shared" si="22"/>
        <v>2</v>
      </c>
      <c r="W16" s="163">
        <f t="shared" si="22"/>
        <v>2</v>
      </c>
      <c r="X16" s="163">
        <f t="shared" si="22"/>
        <v>2</v>
      </c>
      <c r="Y16" s="163">
        <f t="shared" si="22"/>
        <v>2</v>
      </c>
      <c r="Z16" s="163">
        <f t="shared" si="22"/>
        <v>2</v>
      </c>
      <c r="AA16" s="163">
        <f t="shared" si="22"/>
        <v>2</v>
      </c>
      <c r="AB16" s="163">
        <f t="shared" si="22"/>
        <v>2</v>
      </c>
      <c r="AC16" s="163">
        <f t="shared" si="22"/>
        <v>2</v>
      </c>
    </row>
    <row r="17" spans="1:29" ht="39.6" x14ac:dyDescent="0.25">
      <c r="A17" s="143"/>
      <c r="B17" s="143" t="s">
        <v>116</v>
      </c>
      <c r="C17" s="143"/>
      <c r="D17" s="144" t="s">
        <v>99</v>
      </c>
      <c r="E17" s="162" t="s">
        <v>128</v>
      </c>
      <c r="F17" s="143"/>
      <c r="G17" s="164">
        <v>2</v>
      </c>
      <c r="H17" s="163">
        <f t="shared" ref="H17:AC17" si="23">G17</f>
        <v>2</v>
      </c>
      <c r="I17" s="163">
        <f t="shared" si="23"/>
        <v>2</v>
      </c>
      <c r="J17" s="163">
        <f t="shared" si="23"/>
        <v>2</v>
      </c>
      <c r="K17" s="163">
        <f t="shared" si="23"/>
        <v>2</v>
      </c>
      <c r="L17" s="163">
        <f t="shared" si="23"/>
        <v>2</v>
      </c>
      <c r="M17" s="163">
        <f t="shared" si="23"/>
        <v>2</v>
      </c>
      <c r="N17" s="163">
        <f t="shared" si="23"/>
        <v>2</v>
      </c>
      <c r="O17" s="163">
        <f t="shared" si="23"/>
        <v>2</v>
      </c>
      <c r="P17" s="163">
        <f t="shared" si="23"/>
        <v>2</v>
      </c>
      <c r="Q17" s="163">
        <f t="shared" si="23"/>
        <v>2</v>
      </c>
      <c r="R17" s="163">
        <f t="shared" si="23"/>
        <v>2</v>
      </c>
      <c r="S17" s="163">
        <f t="shared" si="23"/>
        <v>2</v>
      </c>
      <c r="T17" s="163">
        <f t="shared" si="23"/>
        <v>2</v>
      </c>
      <c r="U17" s="163">
        <f t="shared" si="23"/>
        <v>2</v>
      </c>
      <c r="V17" s="163">
        <f t="shared" si="23"/>
        <v>2</v>
      </c>
      <c r="W17" s="163">
        <f t="shared" si="23"/>
        <v>2</v>
      </c>
      <c r="X17" s="163">
        <f t="shared" si="23"/>
        <v>2</v>
      </c>
      <c r="Y17" s="163">
        <f t="shared" si="23"/>
        <v>2</v>
      </c>
      <c r="Z17" s="163">
        <f t="shared" si="23"/>
        <v>2</v>
      </c>
      <c r="AA17" s="163">
        <f t="shared" si="23"/>
        <v>2</v>
      </c>
      <c r="AB17" s="163">
        <f t="shared" si="23"/>
        <v>2</v>
      </c>
      <c r="AC17" s="163">
        <f t="shared" si="23"/>
        <v>2</v>
      </c>
    </row>
    <row r="18" spans="1:29" ht="26.4" x14ac:dyDescent="0.25">
      <c r="A18" s="143" t="s">
        <v>117</v>
      </c>
      <c r="B18" s="143" t="s">
        <v>118</v>
      </c>
      <c r="C18" s="143"/>
      <c r="D18" s="144" t="s">
        <v>110</v>
      </c>
      <c r="E18" s="162" t="s">
        <v>128</v>
      </c>
      <c r="F18" s="143"/>
      <c r="G18" s="164">
        <v>1</v>
      </c>
      <c r="H18" s="163">
        <f t="shared" ref="H18:AC18" si="24">G18</f>
        <v>1</v>
      </c>
      <c r="I18" s="163">
        <f t="shared" si="24"/>
        <v>1</v>
      </c>
      <c r="J18" s="163">
        <f t="shared" si="24"/>
        <v>1</v>
      </c>
      <c r="K18" s="163">
        <f t="shared" si="24"/>
        <v>1</v>
      </c>
      <c r="L18" s="163">
        <f t="shared" si="24"/>
        <v>1</v>
      </c>
      <c r="M18" s="163">
        <f t="shared" si="24"/>
        <v>1</v>
      </c>
      <c r="N18" s="163">
        <f t="shared" si="24"/>
        <v>1</v>
      </c>
      <c r="O18" s="163">
        <f t="shared" si="24"/>
        <v>1</v>
      </c>
      <c r="P18" s="163">
        <f t="shared" si="24"/>
        <v>1</v>
      </c>
      <c r="Q18" s="163">
        <f t="shared" si="24"/>
        <v>1</v>
      </c>
      <c r="R18" s="163">
        <f t="shared" si="24"/>
        <v>1</v>
      </c>
      <c r="S18" s="163">
        <f t="shared" si="24"/>
        <v>1</v>
      </c>
      <c r="T18" s="163">
        <f t="shared" si="24"/>
        <v>1</v>
      </c>
      <c r="U18" s="163">
        <f t="shared" si="24"/>
        <v>1</v>
      </c>
      <c r="V18" s="163">
        <f t="shared" si="24"/>
        <v>1</v>
      </c>
      <c r="W18" s="163">
        <f t="shared" si="24"/>
        <v>1</v>
      </c>
      <c r="X18" s="163">
        <f t="shared" si="24"/>
        <v>1</v>
      </c>
      <c r="Y18" s="163">
        <f t="shared" si="24"/>
        <v>1</v>
      </c>
      <c r="Z18" s="163">
        <f t="shared" si="24"/>
        <v>1</v>
      </c>
      <c r="AA18" s="163">
        <f t="shared" si="24"/>
        <v>1</v>
      </c>
      <c r="AB18" s="163">
        <f t="shared" si="24"/>
        <v>1</v>
      </c>
      <c r="AC18" s="163">
        <f t="shared" si="24"/>
        <v>1</v>
      </c>
    </row>
    <row r="19" spans="1:29" ht="52.8" x14ac:dyDescent="0.25">
      <c r="A19" s="143"/>
      <c r="B19" s="143" t="s">
        <v>119</v>
      </c>
      <c r="C19" s="143"/>
      <c r="D19" s="144" t="s">
        <v>110</v>
      </c>
      <c r="E19" s="162" t="s">
        <v>128</v>
      </c>
      <c r="F19" s="143"/>
      <c r="G19" s="164">
        <v>1</v>
      </c>
      <c r="H19" s="163">
        <f t="shared" ref="H19:AC19" si="25">G19</f>
        <v>1</v>
      </c>
      <c r="I19" s="163">
        <f t="shared" si="25"/>
        <v>1</v>
      </c>
      <c r="J19" s="163">
        <f t="shared" si="25"/>
        <v>1</v>
      </c>
      <c r="K19" s="163">
        <f t="shared" si="25"/>
        <v>1</v>
      </c>
      <c r="L19" s="163">
        <f t="shared" si="25"/>
        <v>1</v>
      </c>
      <c r="M19" s="163">
        <f t="shared" si="25"/>
        <v>1</v>
      </c>
      <c r="N19" s="163">
        <f t="shared" si="25"/>
        <v>1</v>
      </c>
      <c r="O19" s="163">
        <f t="shared" si="25"/>
        <v>1</v>
      </c>
      <c r="P19" s="163">
        <f t="shared" si="25"/>
        <v>1</v>
      </c>
      <c r="Q19" s="163">
        <f t="shared" si="25"/>
        <v>1</v>
      </c>
      <c r="R19" s="163">
        <f t="shared" si="25"/>
        <v>1</v>
      </c>
      <c r="S19" s="163">
        <f t="shared" si="25"/>
        <v>1</v>
      </c>
      <c r="T19" s="163">
        <f t="shared" si="25"/>
        <v>1</v>
      </c>
      <c r="U19" s="163">
        <f t="shared" si="25"/>
        <v>1</v>
      </c>
      <c r="V19" s="163">
        <f t="shared" si="25"/>
        <v>1</v>
      </c>
      <c r="W19" s="163">
        <f t="shared" si="25"/>
        <v>1</v>
      </c>
      <c r="X19" s="163">
        <f t="shared" si="25"/>
        <v>1</v>
      </c>
      <c r="Y19" s="163">
        <f t="shared" si="25"/>
        <v>1</v>
      </c>
      <c r="Z19" s="163">
        <f t="shared" si="25"/>
        <v>1</v>
      </c>
      <c r="AA19" s="163">
        <f t="shared" si="25"/>
        <v>1</v>
      </c>
      <c r="AB19" s="163">
        <f t="shared" si="25"/>
        <v>1</v>
      </c>
      <c r="AC19" s="163">
        <f t="shared" si="25"/>
        <v>1</v>
      </c>
    </row>
    <row r="20" spans="1:29" ht="52.8" x14ac:dyDescent="0.25">
      <c r="A20" s="143"/>
      <c r="B20" s="143" t="s">
        <v>120</v>
      </c>
      <c r="C20" s="143"/>
      <c r="D20" s="144" t="s">
        <v>110</v>
      </c>
      <c r="E20" s="162" t="s">
        <v>128</v>
      </c>
      <c r="F20" s="143"/>
      <c r="G20" s="164">
        <v>1</v>
      </c>
      <c r="H20" s="163">
        <f t="shared" ref="H20:AC20" si="26">G20</f>
        <v>1</v>
      </c>
      <c r="I20" s="163">
        <f t="shared" si="26"/>
        <v>1</v>
      </c>
      <c r="J20" s="163">
        <f t="shared" si="26"/>
        <v>1</v>
      </c>
      <c r="K20" s="163">
        <f t="shared" si="26"/>
        <v>1</v>
      </c>
      <c r="L20" s="163">
        <f t="shared" si="26"/>
        <v>1</v>
      </c>
      <c r="M20" s="163">
        <f t="shared" si="26"/>
        <v>1</v>
      </c>
      <c r="N20" s="163">
        <f t="shared" si="26"/>
        <v>1</v>
      </c>
      <c r="O20" s="163">
        <f t="shared" si="26"/>
        <v>1</v>
      </c>
      <c r="P20" s="163">
        <f t="shared" si="26"/>
        <v>1</v>
      </c>
      <c r="Q20" s="163">
        <f t="shared" si="26"/>
        <v>1</v>
      </c>
      <c r="R20" s="163">
        <f t="shared" si="26"/>
        <v>1</v>
      </c>
      <c r="S20" s="163">
        <f t="shared" si="26"/>
        <v>1</v>
      </c>
      <c r="T20" s="163">
        <f t="shared" si="26"/>
        <v>1</v>
      </c>
      <c r="U20" s="163">
        <f t="shared" si="26"/>
        <v>1</v>
      </c>
      <c r="V20" s="163">
        <f t="shared" si="26"/>
        <v>1</v>
      </c>
      <c r="W20" s="163">
        <f t="shared" si="26"/>
        <v>1</v>
      </c>
      <c r="X20" s="163">
        <f t="shared" si="26"/>
        <v>1</v>
      </c>
      <c r="Y20" s="163">
        <f t="shared" si="26"/>
        <v>1</v>
      </c>
      <c r="Z20" s="163">
        <f t="shared" si="26"/>
        <v>1</v>
      </c>
      <c r="AA20" s="163">
        <f t="shared" si="26"/>
        <v>1</v>
      </c>
      <c r="AB20" s="163">
        <f t="shared" si="26"/>
        <v>1</v>
      </c>
      <c r="AC20" s="163">
        <f t="shared" si="26"/>
        <v>1</v>
      </c>
    </row>
    <row r="21" spans="1:29" ht="39.6" x14ac:dyDescent="0.25">
      <c r="A21" s="143" t="s">
        <v>121</v>
      </c>
      <c r="B21" s="143" t="s">
        <v>122</v>
      </c>
      <c r="C21" s="143"/>
      <c r="D21" s="144" t="s">
        <v>105</v>
      </c>
      <c r="E21" s="162" t="s">
        <v>128</v>
      </c>
      <c r="F21" s="143"/>
      <c r="G21" s="164">
        <v>2</v>
      </c>
      <c r="H21" s="163">
        <f t="shared" ref="H21:AC21" si="27">G21</f>
        <v>2</v>
      </c>
      <c r="I21" s="163">
        <f t="shared" si="27"/>
        <v>2</v>
      </c>
      <c r="J21" s="163">
        <f t="shared" si="27"/>
        <v>2</v>
      </c>
      <c r="K21" s="163">
        <f t="shared" si="27"/>
        <v>2</v>
      </c>
      <c r="L21" s="163">
        <f t="shared" si="27"/>
        <v>2</v>
      </c>
      <c r="M21" s="163">
        <f t="shared" si="27"/>
        <v>2</v>
      </c>
      <c r="N21" s="163">
        <f t="shared" si="27"/>
        <v>2</v>
      </c>
      <c r="O21" s="163">
        <f t="shared" si="27"/>
        <v>2</v>
      </c>
      <c r="P21" s="163">
        <f t="shared" si="27"/>
        <v>2</v>
      </c>
      <c r="Q21" s="163">
        <f t="shared" si="27"/>
        <v>2</v>
      </c>
      <c r="R21" s="163">
        <f t="shared" si="27"/>
        <v>2</v>
      </c>
      <c r="S21" s="163">
        <f t="shared" si="27"/>
        <v>2</v>
      </c>
      <c r="T21" s="163">
        <f t="shared" si="27"/>
        <v>2</v>
      </c>
      <c r="U21" s="163">
        <f t="shared" si="27"/>
        <v>2</v>
      </c>
      <c r="V21" s="163">
        <f t="shared" si="27"/>
        <v>2</v>
      </c>
      <c r="W21" s="163">
        <f t="shared" si="27"/>
        <v>2</v>
      </c>
      <c r="X21" s="163">
        <f t="shared" si="27"/>
        <v>2</v>
      </c>
      <c r="Y21" s="163">
        <f t="shared" si="27"/>
        <v>2</v>
      </c>
      <c r="Z21" s="163">
        <f t="shared" si="27"/>
        <v>2</v>
      </c>
      <c r="AA21" s="163">
        <f t="shared" si="27"/>
        <v>2</v>
      </c>
      <c r="AB21" s="163">
        <f t="shared" si="27"/>
        <v>2</v>
      </c>
      <c r="AC21" s="163">
        <f t="shared" si="27"/>
        <v>2</v>
      </c>
    </row>
    <row r="22" spans="1:29" ht="39.6" x14ac:dyDescent="0.25">
      <c r="A22" s="143"/>
      <c r="B22" s="143" t="s">
        <v>123</v>
      </c>
      <c r="C22" s="143"/>
      <c r="D22" s="144" t="s">
        <v>105</v>
      </c>
      <c r="E22" s="162" t="s">
        <v>128</v>
      </c>
      <c r="F22" s="143"/>
      <c r="G22" s="164">
        <v>3</v>
      </c>
      <c r="H22" s="163">
        <f t="shared" ref="H22:AC22" si="28">G22</f>
        <v>3</v>
      </c>
      <c r="I22" s="163">
        <f t="shared" si="28"/>
        <v>3</v>
      </c>
      <c r="J22" s="163">
        <f t="shared" si="28"/>
        <v>3</v>
      </c>
      <c r="K22" s="163">
        <f t="shared" si="28"/>
        <v>3</v>
      </c>
      <c r="L22" s="163">
        <f t="shared" si="28"/>
        <v>3</v>
      </c>
      <c r="M22" s="163">
        <f t="shared" si="28"/>
        <v>3</v>
      </c>
      <c r="N22" s="163">
        <f t="shared" si="28"/>
        <v>3</v>
      </c>
      <c r="O22" s="163">
        <f t="shared" si="28"/>
        <v>3</v>
      </c>
      <c r="P22" s="163">
        <f t="shared" si="28"/>
        <v>3</v>
      </c>
      <c r="Q22" s="163">
        <f t="shared" si="28"/>
        <v>3</v>
      </c>
      <c r="R22" s="163">
        <f t="shared" si="28"/>
        <v>3</v>
      </c>
      <c r="S22" s="163">
        <f t="shared" si="28"/>
        <v>3</v>
      </c>
      <c r="T22" s="163">
        <f t="shared" si="28"/>
        <v>3</v>
      </c>
      <c r="U22" s="163">
        <f t="shared" si="28"/>
        <v>3</v>
      </c>
      <c r="V22" s="163">
        <f t="shared" si="28"/>
        <v>3</v>
      </c>
      <c r="W22" s="163">
        <f t="shared" si="28"/>
        <v>3</v>
      </c>
      <c r="X22" s="163">
        <f t="shared" si="28"/>
        <v>3</v>
      </c>
      <c r="Y22" s="163">
        <f t="shared" si="28"/>
        <v>3</v>
      </c>
      <c r="Z22" s="163">
        <f t="shared" si="28"/>
        <v>3</v>
      </c>
      <c r="AA22" s="163">
        <f t="shared" si="28"/>
        <v>3</v>
      </c>
      <c r="AB22" s="163">
        <f t="shared" si="28"/>
        <v>3</v>
      </c>
      <c r="AC22" s="163">
        <f t="shared" si="28"/>
        <v>3</v>
      </c>
    </row>
    <row r="23" spans="1:29" ht="39.6" x14ac:dyDescent="0.25">
      <c r="A23" s="154" t="s">
        <v>130</v>
      </c>
      <c r="B23" s="154" t="s">
        <v>131</v>
      </c>
      <c r="C23" s="143"/>
      <c r="D23" s="167" t="s">
        <v>110</v>
      </c>
      <c r="E23" s="162" t="s">
        <v>128</v>
      </c>
      <c r="F23" s="143"/>
      <c r="G23" s="164">
        <v>2</v>
      </c>
      <c r="H23" s="163">
        <f t="shared" ref="H23:AC23" si="29">G23</f>
        <v>2</v>
      </c>
      <c r="I23" s="163">
        <f t="shared" si="29"/>
        <v>2</v>
      </c>
      <c r="J23" s="163">
        <f t="shared" si="29"/>
        <v>2</v>
      </c>
      <c r="K23" s="163">
        <f t="shared" si="29"/>
        <v>2</v>
      </c>
      <c r="L23" s="163">
        <f t="shared" si="29"/>
        <v>2</v>
      </c>
      <c r="M23" s="163">
        <f t="shared" si="29"/>
        <v>2</v>
      </c>
      <c r="N23" s="163">
        <f t="shared" si="29"/>
        <v>2</v>
      </c>
      <c r="O23" s="163">
        <f t="shared" si="29"/>
        <v>2</v>
      </c>
      <c r="P23" s="163">
        <f t="shared" si="29"/>
        <v>2</v>
      </c>
      <c r="Q23" s="163">
        <f t="shared" si="29"/>
        <v>2</v>
      </c>
      <c r="R23" s="163">
        <f t="shared" si="29"/>
        <v>2</v>
      </c>
      <c r="S23" s="163">
        <f t="shared" si="29"/>
        <v>2</v>
      </c>
      <c r="T23" s="163">
        <f t="shared" si="29"/>
        <v>2</v>
      </c>
      <c r="U23" s="163">
        <f t="shared" si="29"/>
        <v>2</v>
      </c>
      <c r="V23" s="163">
        <f t="shared" si="29"/>
        <v>2</v>
      </c>
      <c r="W23" s="163">
        <f t="shared" si="29"/>
        <v>2</v>
      </c>
      <c r="X23" s="163">
        <f t="shared" si="29"/>
        <v>2</v>
      </c>
      <c r="Y23" s="163">
        <f t="shared" si="29"/>
        <v>2</v>
      </c>
      <c r="Z23" s="163">
        <f t="shared" si="29"/>
        <v>2</v>
      </c>
      <c r="AA23" s="163">
        <f t="shared" si="29"/>
        <v>2</v>
      </c>
      <c r="AB23" s="163">
        <f t="shared" si="29"/>
        <v>2</v>
      </c>
      <c r="AC23" s="163">
        <f t="shared" si="29"/>
        <v>2</v>
      </c>
    </row>
    <row r="24" spans="1:29" ht="13.2" x14ac:dyDescent="0.25">
      <c r="B24" s="1" t="s">
        <v>132</v>
      </c>
      <c r="D24" s="8" t="s">
        <v>110</v>
      </c>
      <c r="E24" s="168" t="s">
        <v>128</v>
      </c>
      <c r="F24" s="143"/>
      <c r="G24" s="164">
        <v>1</v>
      </c>
      <c r="H24" s="163">
        <f t="shared" ref="H24:AC24" si="30">G24</f>
        <v>1</v>
      </c>
      <c r="I24" s="163">
        <f t="shared" si="30"/>
        <v>1</v>
      </c>
      <c r="J24" s="163">
        <f t="shared" si="30"/>
        <v>1</v>
      </c>
      <c r="K24" s="163">
        <f t="shared" si="30"/>
        <v>1</v>
      </c>
      <c r="L24" s="163">
        <f t="shared" si="30"/>
        <v>1</v>
      </c>
      <c r="M24" s="163">
        <f t="shared" si="30"/>
        <v>1</v>
      </c>
      <c r="N24" s="163">
        <f t="shared" si="30"/>
        <v>1</v>
      </c>
      <c r="O24" s="163">
        <f t="shared" si="30"/>
        <v>1</v>
      </c>
      <c r="P24" s="163">
        <f t="shared" si="30"/>
        <v>1</v>
      </c>
      <c r="Q24" s="163">
        <f t="shared" si="30"/>
        <v>1</v>
      </c>
      <c r="R24" s="163">
        <f t="shared" si="30"/>
        <v>1</v>
      </c>
      <c r="S24" s="163">
        <f t="shared" si="30"/>
        <v>1</v>
      </c>
      <c r="T24" s="163">
        <f t="shared" si="30"/>
        <v>1</v>
      </c>
      <c r="U24" s="163">
        <f t="shared" si="30"/>
        <v>1</v>
      </c>
      <c r="V24" s="163">
        <f t="shared" si="30"/>
        <v>1</v>
      </c>
      <c r="W24" s="163">
        <f t="shared" si="30"/>
        <v>1</v>
      </c>
      <c r="X24" s="163">
        <f t="shared" si="30"/>
        <v>1</v>
      </c>
      <c r="Y24" s="163">
        <f t="shared" si="30"/>
        <v>1</v>
      </c>
      <c r="Z24" s="163">
        <f t="shared" si="30"/>
        <v>1</v>
      </c>
      <c r="AA24" s="163">
        <f t="shared" si="30"/>
        <v>1</v>
      </c>
      <c r="AB24" s="163">
        <f t="shared" si="30"/>
        <v>1</v>
      </c>
      <c r="AC24" s="163">
        <f t="shared" si="30"/>
        <v>1</v>
      </c>
    </row>
    <row r="25" spans="1:29" ht="13.2" x14ac:dyDescent="0.25">
      <c r="F25" s="143"/>
      <c r="G25" s="164"/>
      <c r="H25" s="146">
        <f t="shared" ref="H25:AC25" si="31">G25</f>
        <v>0</v>
      </c>
      <c r="I25" s="146">
        <f t="shared" si="31"/>
        <v>0</v>
      </c>
      <c r="J25" s="146">
        <f t="shared" si="31"/>
        <v>0</v>
      </c>
      <c r="K25" s="146">
        <f t="shared" si="31"/>
        <v>0</v>
      </c>
      <c r="L25" s="146">
        <f t="shared" si="31"/>
        <v>0</v>
      </c>
      <c r="M25" s="146">
        <f t="shared" si="31"/>
        <v>0</v>
      </c>
      <c r="N25" s="146">
        <f t="shared" si="31"/>
        <v>0</v>
      </c>
      <c r="O25" s="146">
        <f t="shared" si="31"/>
        <v>0</v>
      </c>
      <c r="P25" s="146">
        <f t="shared" si="31"/>
        <v>0</v>
      </c>
      <c r="Q25" s="146">
        <f t="shared" si="31"/>
        <v>0</v>
      </c>
      <c r="R25" s="146">
        <f t="shared" si="31"/>
        <v>0</v>
      </c>
      <c r="S25" s="146">
        <f t="shared" si="31"/>
        <v>0</v>
      </c>
      <c r="T25" s="146">
        <f t="shared" si="31"/>
        <v>0</v>
      </c>
      <c r="U25" s="146">
        <f t="shared" si="31"/>
        <v>0</v>
      </c>
      <c r="V25" s="146">
        <f t="shared" si="31"/>
        <v>0</v>
      </c>
      <c r="W25" s="146">
        <f t="shared" si="31"/>
        <v>0</v>
      </c>
      <c r="X25" s="146">
        <f t="shared" si="31"/>
        <v>0</v>
      </c>
      <c r="Y25" s="146">
        <f t="shared" si="31"/>
        <v>0</v>
      </c>
      <c r="Z25" s="146">
        <f t="shared" si="31"/>
        <v>0</v>
      </c>
      <c r="AA25" s="146">
        <f t="shared" si="31"/>
        <v>0</v>
      </c>
      <c r="AB25" s="146">
        <f t="shared" si="31"/>
        <v>0</v>
      </c>
      <c r="AC25" s="146">
        <f t="shared" si="31"/>
        <v>0</v>
      </c>
    </row>
    <row r="26" spans="1:29" ht="13.2" x14ac:dyDescent="0.25">
      <c r="F26" s="143"/>
      <c r="G26" s="164"/>
      <c r="H26" s="146">
        <f t="shared" ref="H26:AC26" si="32">G26</f>
        <v>0</v>
      </c>
      <c r="I26" s="146">
        <f t="shared" si="32"/>
        <v>0</v>
      </c>
      <c r="J26" s="146">
        <f t="shared" si="32"/>
        <v>0</v>
      </c>
      <c r="K26" s="146">
        <f t="shared" si="32"/>
        <v>0</v>
      </c>
      <c r="L26" s="146">
        <f t="shared" si="32"/>
        <v>0</v>
      </c>
      <c r="M26" s="146">
        <f t="shared" si="32"/>
        <v>0</v>
      </c>
      <c r="N26" s="146">
        <f t="shared" si="32"/>
        <v>0</v>
      </c>
      <c r="O26" s="146">
        <f t="shared" si="32"/>
        <v>0</v>
      </c>
      <c r="P26" s="146">
        <f t="shared" si="32"/>
        <v>0</v>
      </c>
      <c r="Q26" s="146">
        <f t="shared" si="32"/>
        <v>0</v>
      </c>
      <c r="R26" s="146">
        <f t="shared" si="32"/>
        <v>0</v>
      </c>
      <c r="S26" s="146">
        <f t="shared" si="32"/>
        <v>0</v>
      </c>
      <c r="T26" s="146">
        <f t="shared" si="32"/>
        <v>0</v>
      </c>
      <c r="U26" s="146">
        <f t="shared" si="32"/>
        <v>0</v>
      </c>
      <c r="V26" s="146">
        <f t="shared" si="32"/>
        <v>0</v>
      </c>
      <c r="W26" s="146">
        <f t="shared" si="32"/>
        <v>0</v>
      </c>
      <c r="X26" s="146">
        <f t="shared" si="32"/>
        <v>0</v>
      </c>
      <c r="Y26" s="146">
        <f t="shared" si="32"/>
        <v>0</v>
      </c>
      <c r="Z26" s="146">
        <f t="shared" si="32"/>
        <v>0</v>
      </c>
      <c r="AA26" s="146">
        <f t="shared" si="32"/>
        <v>0</v>
      </c>
      <c r="AB26" s="146">
        <f t="shared" si="32"/>
        <v>0</v>
      </c>
      <c r="AC26" s="146">
        <f t="shared" si="32"/>
        <v>0</v>
      </c>
    </row>
    <row r="27" spans="1:29" ht="13.2" x14ac:dyDescent="0.25">
      <c r="A27" s="143"/>
      <c r="B27" s="143"/>
      <c r="C27" s="143"/>
      <c r="D27" s="144"/>
      <c r="E27" s="143"/>
      <c r="F27" s="143"/>
      <c r="G27" s="145"/>
      <c r="H27" s="146">
        <f t="shared" ref="H27:AC27" si="33">G27</f>
        <v>0</v>
      </c>
      <c r="I27" s="146">
        <f t="shared" si="33"/>
        <v>0</v>
      </c>
      <c r="J27" s="146">
        <f t="shared" si="33"/>
        <v>0</v>
      </c>
      <c r="K27" s="146">
        <f t="shared" si="33"/>
        <v>0</v>
      </c>
      <c r="L27" s="146">
        <f t="shared" si="33"/>
        <v>0</v>
      </c>
      <c r="M27" s="146">
        <f t="shared" si="33"/>
        <v>0</v>
      </c>
      <c r="N27" s="146">
        <f t="shared" si="33"/>
        <v>0</v>
      </c>
      <c r="O27" s="146">
        <f t="shared" si="33"/>
        <v>0</v>
      </c>
      <c r="P27" s="146">
        <f t="shared" si="33"/>
        <v>0</v>
      </c>
      <c r="Q27" s="146">
        <f t="shared" si="33"/>
        <v>0</v>
      </c>
      <c r="R27" s="146">
        <f t="shared" si="33"/>
        <v>0</v>
      </c>
      <c r="S27" s="146">
        <f t="shared" si="33"/>
        <v>0</v>
      </c>
      <c r="T27" s="146">
        <f t="shared" si="33"/>
        <v>0</v>
      </c>
      <c r="U27" s="146">
        <f t="shared" si="33"/>
        <v>0</v>
      </c>
      <c r="V27" s="146">
        <f t="shared" si="33"/>
        <v>0</v>
      </c>
      <c r="W27" s="146">
        <f t="shared" si="33"/>
        <v>0</v>
      </c>
      <c r="X27" s="146">
        <f t="shared" si="33"/>
        <v>0</v>
      </c>
      <c r="Y27" s="146">
        <f t="shared" si="33"/>
        <v>0</v>
      </c>
      <c r="Z27" s="146">
        <f t="shared" si="33"/>
        <v>0</v>
      </c>
      <c r="AA27" s="146">
        <f t="shared" si="33"/>
        <v>0</v>
      </c>
      <c r="AB27" s="146">
        <f t="shared" si="33"/>
        <v>0</v>
      </c>
      <c r="AC27" s="146">
        <f t="shared" si="33"/>
        <v>0</v>
      </c>
    </row>
    <row r="28" spans="1:29" ht="13.2" x14ac:dyDescent="0.25">
      <c r="A28" s="143" t="s">
        <v>124</v>
      </c>
      <c r="B28" s="143" t="s">
        <v>124</v>
      </c>
      <c r="C28" s="143"/>
      <c r="D28" s="144" t="s">
        <v>99</v>
      </c>
      <c r="E28" s="162" t="s">
        <v>128</v>
      </c>
      <c r="F28" s="143"/>
      <c r="G28" s="164">
        <v>5</v>
      </c>
      <c r="H28" s="163">
        <f t="shared" ref="H28:AC28" si="34">G28</f>
        <v>5</v>
      </c>
      <c r="I28" s="163">
        <f t="shared" si="34"/>
        <v>5</v>
      </c>
      <c r="J28" s="163">
        <f t="shared" si="34"/>
        <v>5</v>
      </c>
      <c r="K28" s="163">
        <f t="shared" si="34"/>
        <v>5</v>
      </c>
      <c r="L28" s="163">
        <f t="shared" si="34"/>
        <v>5</v>
      </c>
      <c r="M28" s="163">
        <f t="shared" si="34"/>
        <v>5</v>
      </c>
      <c r="N28" s="163">
        <f t="shared" si="34"/>
        <v>5</v>
      </c>
      <c r="O28" s="163">
        <f t="shared" si="34"/>
        <v>5</v>
      </c>
      <c r="P28" s="163">
        <f t="shared" si="34"/>
        <v>5</v>
      </c>
      <c r="Q28" s="163">
        <f t="shared" si="34"/>
        <v>5</v>
      </c>
      <c r="R28" s="163">
        <f t="shared" si="34"/>
        <v>5</v>
      </c>
      <c r="S28" s="163">
        <f t="shared" si="34"/>
        <v>5</v>
      </c>
      <c r="T28" s="163">
        <f t="shared" si="34"/>
        <v>5</v>
      </c>
      <c r="U28" s="163">
        <f t="shared" si="34"/>
        <v>5</v>
      </c>
      <c r="V28" s="163">
        <f t="shared" si="34"/>
        <v>5</v>
      </c>
      <c r="W28" s="163">
        <f t="shared" si="34"/>
        <v>5</v>
      </c>
      <c r="X28" s="163">
        <f t="shared" si="34"/>
        <v>5</v>
      </c>
      <c r="Y28" s="163">
        <f t="shared" si="34"/>
        <v>5</v>
      </c>
      <c r="Z28" s="163">
        <f t="shared" si="34"/>
        <v>5</v>
      </c>
      <c r="AA28" s="163">
        <f t="shared" si="34"/>
        <v>5</v>
      </c>
      <c r="AB28" s="163">
        <f t="shared" si="34"/>
        <v>5</v>
      </c>
      <c r="AC28" s="163">
        <f t="shared" si="34"/>
        <v>5</v>
      </c>
    </row>
    <row r="29" spans="1:29" ht="13.2" x14ac:dyDescent="0.25">
      <c r="A29" s="143"/>
      <c r="B29" s="143" t="s">
        <v>124</v>
      </c>
      <c r="C29" s="143"/>
      <c r="D29" s="144" t="s">
        <v>105</v>
      </c>
      <c r="E29" s="162" t="s">
        <v>128</v>
      </c>
      <c r="F29" s="143"/>
      <c r="G29" s="164">
        <v>6</v>
      </c>
      <c r="H29" s="163">
        <f t="shared" ref="H29:AC29" si="35">G29</f>
        <v>6</v>
      </c>
      <c r="I29" s="163">
        <f t="shared" si="35"/>
        <v>6</v>
      </c>
      <c r="J29" s="163">
        <f t="shared" si="35"/>
        <v>6</v>
      </c>
      <c r="K29" s="163">
        <f t="shared" si="35"/>
        <v>6</v>
      </c>
      <c r="L29" s="163">
        <f t="shared" si="35"/>
        <v>6</v>
      </c>
      <c r="M29" s="163">
        <f t="shared" si="35"/>
        <v>6</v>
      </c>
      <c r="N29" s="163">
        <f t="shared" si="35"/>
        <v>6</v>
      </c>
      <c r="O29" s="163">
        <f t="shared" si="35"/>
        <v>6</v>
      </c>
      <c r="P29" s="163">
        <f t="shared" si="35"/>
        <v>6</v>
      </c>
      <c r="Q29" s="163">
        <f t="shared" si="35"/>
        <v>6</v>
      </c>
      <c r="R29" s="163">
        <f t="shared" si="35"/>
        <v>6</v>
      </c>
      <c r="S29" s="163">
        <f t="shared" si="35"/>
        <v>6</v>
      </c>
      <c r="T29" s="163">
        <f t="shared" si="35"/>
        <v>6</v>
      </c>
      <c r="U29" s="163">
        <f t="shared" si="35"/>
        <v>6</v>
      </c>
      <c r="V29" s="163">
        <f t="shared" si="35"/>
        <v>6</v>
      </c>
      <c r="W29" s="163">
        <f t="shared" si="35"/>
        <v>6</v>
      </c>
      <c r="X29" s="163">
        <f t="shared" si="35"/>
        <v>6</v>
      </c>
      <c r="Y29" s="163">
        <f t="shared" si="35"/>
        <v>6</v>
      </c>
      <c r="Z29" s="163">
        <f t="shared" si="35"/>
        <v>6</v>
      </c>
      <c r="AA29" s="163">
        <f t="shared" si="35"/>
        <v>6</v>
      </c>
      <c r="AB29" s="163">
        <f t="shared" si="35"/>
        <v>6</v>
      </c>
      <c r="AC29" s="163">
        <f t="shared" si="35"/>
        <v>6</v>
      </c>
    </row>
    <row r="30" spans="1:29" ht="13.2" x14ac:dyDescent="0.25">
      <c r="A30" s="143"/>
      <c r="B30" s="143" t="s">
        <v>124</v>
      </c>
      <c r="C30" s="143"/>
      <c r="D30" s="144" t="s">
        <v>110</v>
      </c>
      <c r="E30" s="162" t="s">
        <v>128</v>
      </c>
      <c r="F30" s="143"/>
      <c r="G30" s="164">
        <v>5</v>
      </c>
      <c r="H30" s="163">
        <f t="shared" ref="H30:AC30" si="36">G30</f>
        <v>5</v>
      </c>
      <c r="I30" s="163">
        <f t="shared" si="36"/>
        <v>5</v>
      </c>
      <c r="J30" s="163">
        <f t="shared" si="36"/>
        <v>5</v>
      </c>
      <c r="K30" s="163">
        <f t="shared" si="36"/>
        <v>5</v>
      </c>
      <c r="L30" s="163">
        <f t="shared" si="36"/>
        <v>5</v>
      </c>
      <c r="M30" s="163">
        <f t="shared" si="36"/>
        <v>5</v>
      </c>
      <c r="N30" s="163">
        <f t="shared" si="36"/>
        <v>5</v>
      </c>
      <c r="O30" s="163">
        <f t="shared" si="36"/>
        <v>5</v>
      </c>
      <c r="P30" s="163">
        <f t="shared" si="36"/>
        <v>5</v>
      </c>
      <c r="Q30" s="163">
        <f t="shared" si="36"/>
        <v>5</v>
      </c>
      <c r="R30" s="163">
        <f t="shared" si="36"/>
        <v>5</v>
      </c>
      <c r="S30" s="163">
        <f t="shared" si="36"/>
        <v>5</v>
      </c>
      <c r="T30" s="163">
        <f t="shared" si="36"/>
        <v>5</v>
      </c>
      <c r="U30" s="163">
        <f t="shared" si="36"/>
        <v>5</v>
      </c>
      <c r="V30" s="163">
        <f t="shared" si="36"/>
        <v>5</v>
      </c>
      <c r="W30" s="163">
        <f t="shared" si="36"/>
        <v>5</v>
      </c>
      <c r="X30" s="163">
        <f t="shared" si="36"/>
        <v>5</v>
      </c>
      <c r="Y30" s="163">
        <f t="shared" si="36"/>
        <v>5</v>
      </c>
      <c r="Z30" s="163">
        <f t="shared" si="36"/>
        <v>5</v>
      </c>
      <c r="AA30" s="163">
        <f t="shared" si="36"/>
        <v>5</v>
      </c>
      <c r="AB30" s="163">
        <f t="shared" si="36"/>
        <v>5</v>
      </c>
      <c r="AC30" s="163">
        <f t="shared" si="36"/>
        <v>5</v>
      </c>
    </row>
    <row r="31" spans="1:29" ht="13.2" x14ac:dyDescent="0.25">
      <c r="A31" s="143"/>
      <c r="B31" s="143"/>
      <c r="C31" s="143"/>
      <c r="D31" s="144"/>
      <c r="E31" s="143"/>
      <c r="F31" s="143"/>
      <c r="G31" s="145"/>
      <c r="H31" s="146">
        <f t="shared" ref="H31:AC31" si="37">G31</f>
        <v>0</v>
      </c>
      <c r="I31" s="146">
        <f t="shared" si="37"/>
        <v>0</v>
      </c>
      <c r="J31" s="146">
        <f t="shared" si="37"/>
        <v>0</v>
      </c>
      <c r="K31" s="146">
        <f t="shared" si="37"/>
        <v>0</v>
      </c>
      <c r="L31" s="146">
        <f t="shared" si="37"/>
        <v>0</v>
      </c>
      <c r="M31" s="146">
        <f t="shared" si="37"/>
        <v>0</v>
      </c>
      <c r="N31" s="146">
        <f t="shared" si="37"/>
        <v>0</v>
      </c>
      <c r="O31" s="146">
        <f t="shared" si="37"/>
        <v>0</v>
      </c>
      <c r="P31" s="146">
        <f t="shared" si="37"/>
        <v>0</v>
      </c>
      <c r="Q31" s="146">
        <f t="shared" si="37"/>
        <v>0</v>
      </c>
      <c r="R31" s="146">
        <f t="shared" si="37"/>
        <v>0</v>
      </c>
      <c r="S31" s="146">
        <f t="shared" si="37"/>
        <v>0</v>
      </c>
      <c r="T31" s="146">
        <f t="shared" si="37"/>
        <v>0</v>
      </c>
      <c r="U31" s="146">
        <f t="shared" si="37"/>
        <v>0</v>
      </c>
      <c r="V31" s="146">
        <f t="shared" si="37"/>
        <v>0</v>
      </c>
      <c r="W31" s="146">
        <f t="shared" si="37"/>
        <v>0</v>
      </c>
      <c r="X31" s="146">
        <f t="shared" si="37"/>
        <v>0</v>
      </c>
      <c r="Y31" s="146">
        <f t="shared" si="37"/>
        <v>0</v>
      </c>
      <c r="Z31" s="146">
        <f t="shared" si="37"/>
        <v>0</v>
      </c>
      <c r="AA31" s="146">
        <f t="shared" si="37"/>
        <v>0</v>
      </c>
      <c r="AB31" s="146">
        <f t="shared" si="37"/>
        <v>0</v>
      </c>
      <c r="AC31" s="146">
        <f t="shared" si="37"/>
        <v>0</v>
      </c>
    </row>
    <row r="32" spans="1:29" ht="26.4" x14ac:dyDescent="0.25">
      <c r="A32" s="154" t="s">
        <v>133</v>
      </c>
      <c r="B32" s="154" t="s">
        <v>133</v>
      </c>
      <c r="C32" s="143"/>
      <c r="D32" s="167" t="s">
        <v>99</v>
      </c>
      <c r="E32" s="162" t="s">
        <v>128</v>
      </c>
      <c r="F32" s="143"/>
      <c r="G32" s="164">
        <v>1</v>
      </c>
      <c r="H32" s="163">
        <f t="shared" ref="H32:AC32" si="38">G32</f>
        <v>1</v>
      </c>
      <c r="I32" s="163">
        <f t="shared" si="38"/>
        <v>1</v>
      </c>
      <c r="J32" s="163">
        <f t="shared" si="38"/>
        <v>1</v>
      </c>
      <c r="K32" s="163">
        <f t="shared" si="38"/>
        <v>1</v>
      </c>
      <c r="L32" s="163">
        <f t="shared" si="38"/>
        <v>1</v>
      </c>
      <c r="M32" s="163">
        <f t="shared" si="38"/>
        <v>1</v>
      </c>
      <c r="N32" s="163">
        <f t="shared" si="38"/>
        <v>1</v>
      </c>
      <c r="O32" s="163">
        <f t="shared" si="38"/>
        <v>1</v>
      </c>
      <c r="P32" s="163">
        <f t="shared" si="38"/>
        <v>1</v>
      </c>
      <c r="Q32" s="163">
        <f t="shared" si="38"/>
        <v>1</v>
      </c>
      <c r="R32" s="163">
        <f t="shared" si="38"/>
        <v>1</v>
      </c>
      <c r="S32" s="163">
        <f t="shared" si="38"/>
        <v>1</v>
      </c>
      <c r="T32" s="163">
        <f t="shared" si="38"/>
        <v>1</v>
      </c>
      <c r="U32" s="163">
        <f t="shared" si="38"/>
        <v>1</v>
      </c>
      <c r="V32" s="163">
        <f t="shared" si="38"/>
        <v>1</v>
      </c>
      <c r="W32" s="163">
        <f t="shared" si="38"/>
        <v>1</v>
      </c>
      <c r="X32" s="163">
        <f t="shared" si="38"/>
        <v>1</v>
      </c>
      <c r="Y32" s="163">
        <f t="shared" si="38"/>
        <v>1</v>
      </c>
      <c r="Z32" s="163">
        <f t="shared" si="38"/>
        <v>1</v>
      </c>
      <c r="AA32" s="163">
        <f t="shared" si="38"/>
        <v>1</v>
      </c>
      <c r="AB32" s="163">
        <f t="shared" si="38"/>
        <v>1</v>
      </c>
      <c r="AC32" s="163">
        <f t="shared" si="38"/>
        <v>1</v>
      </c>
    </row>
    <row r="33" spans="1:29" ht="13.2" x14ac:dyDescent="0.25">
      <c r="A33" s="143"/>
      <c r="B33" s="154" t="s">
        <v>133</v>
      </c>
      <c r="C33" s="143"/>
      <c r="D33" s="167" t="s">
        <v>105</v>
      </c>
      <c r="E33" s="162" t="s">
        <v>128</v>
      </c>
      <c r="F33" s="143"/>
      <c r="G33" s="164">
        <v>3</v>
      </c>
      <c r="H33" s="163">
        <f t="shared" ref="H33:AC33" si="39">G33</f>
        <v>3</v>
      </c>
      <c r="I33" s="163">
        <f t="shared" si="39"/>
        <v>3</v>
      </c>
      <c r="J33" s="163">
        <f t="shared" si="39"/>
        <v>3</v>
      </c>
      <c r="K33" s="163">
        <f t="shared" si="39"/>
        <v>3</v>
      </c>
      <c r="L33" s="163">
        <f t="shared" si="39"/>
        <v>3</v>
      </c>
      <c r="M33" s="163">
        <f t="shared" si="39"/>
        <v>3</v>
      </c>
      <c r="N33" s="163">
        <f t="shared" si="39"/>
        <v>3</v>
      </c>
      <c r="O33" s="163">
        <f t="shared" si="39"/>
        <v>3</v>
      </c>
      <c r="P33" s="163">
        <f t="shared" si="39"/>
        <v>3</v>
      </c>
      <c r="Q33" s="163">
        <f t="shared" si="39"/>
        <v>3</v>
      </c>
      <c r="R33" s="163">
        <f t="shared" si="39"/>
        <v>3</v>
      </c>
      <c r="S33" s="163">
        <f t="shared" si="39"/>
        <v>3</v>
      </c>
      <c r="T33" s="163">
        <f t="shared" si="39"/>
        <v>3</v>
      </c>
      <c r="U33" s="163">
        <f t="shared" si="39"/>
        <v>3</v>
      </c>
      <c r="V33" s="163">
        <f t="shared" si="39"/>
        <v>3</v>
      </c>
      <c r="W33" s="163">
        <f t="shared" si="39"/>
        <v>3</v>
      </c>
      <c r="X33" s="163">
        <f t="shared" si="39"/>
        <v>3</v>
      </c>
      <c r="Y33" s="163">
        <f t="shared" si="39"/>
        <v>3</v>
      </c>
      <c r="Z33" s="163">
        <f t="shared" si="39"/>
        <v>3</v>
      </c>
      <c r="AA33" s="163">
        <f t="shared" si="39"/>
        <v>3</v>
      </c>
      <c r="AB33" s="163">
        <f t="shared" si="39"/>
        <v>3</v>
      </c>
      <c r="AC33" s="163">
        <f t="shared" si="39"/>
        <v>3</v>
      </c>
    </row>
    <row r="34" spans="1:29" ht="13.2" x14ac:dyDescent="0.25">
      <c r="A34" s="143"/>
      <c r="B34" s="154" t="s">
        <v>133</v>
      </c>
      <c r="C34" s="143"/>
      <c r="D34" s="167" t="s">
        <v>110</v>
      </c>
      <c r="E34" s="162" t="s">
        <v>128</v>
      </c>
      <c r="F34" s="143"/>
      <c r="G34" s="164">
        <v>3</v>
      </c>
      <c r="H34" s="163">
        <f t="shared" ref="H34:AC34" si="40">G34</f>
        <v>3</v>
      </c>
      <c r="I34" s="163">
        <f t="shared" si="40"/>
        <v>3</v>
      </c>
      <c r="J34" s="163">
        <f t="shared" si="40"/>
        <v>3</v>
      </c>
      <c r="K34" s="163">
        <f t="shared" si="40"/>
        <v>3</v>
      </c>
      <c r="L34" s="163">
        <f t="shared" si="40"/>
        <v>3</v>
      </c>
      <c r="M34" s="163">
        <f t="shared" si="40"/>
        <v>3</v>
      </c>
      <c r="N34" s="163">
        <f t="shared" si="40"/>
        <v>3</v>
      </c>
      <c r="O34" s="163">
        <f t="shared" si="40"/>
        <v>3</v>
      </c>
      <c r="P34" s="163">
        <f t="shared" si="40"/>
        <v>3</v>
      </c>
      <c r="Q34" s="163">
        <f t="shared" si="40"/>
        <v>3</v>
      </c>
      <c r="R34" s="163">
        <f t="shared" si="40"/>
        <v>3</v>
      </c>
      <c r="S34" s="163">
        <f t="shared" si="40"/>
        <v>3</v>
      </c>
      <c r="T34" s="163">
        <f t="shared" si="40"/>
        <v>3</v>
      </c>
      <c r="U34" s="163">
        <f t="shared" si="40"/>
        <v>3</v>
      </c>
      <c r="V34" s="163">
        <f t="shared" si="40"/>
        <v>3</v>
      </c>
      <c r="W34" s="163">
        <f t="shared" si="40"/>
        <v>3</v>
      </c>
      <c r="X34" s="163">
        <f t="shared" si="40"/>
        <v>3</v>
      </c>
      <c r="Y34" s="163">
        <f t="shared" si="40"/>
        <v>3</v>
      </c>
      <c r="Z34" s="163">
        <f t="shared" si="40"/>
        <v>3</v>
      </c>
      <c r="AA34" s="163">
        <f t="shared" si="40"/>
        <v>3</v>
      </c>
      <c r="AB34" s="163">
        <f t="shared" si="40"/>
        <v>3</v>
      </c>
      <c r="AC34" s="163">
        <f t="shared" si="40"/>
        <v>3</v>
      </c>
    </row>
    <row r="35" spans="1:29" ht="13.2" x14ac:dyDescent="0.25">
      <c r="A35" s="143"/>
      <c r="B35" s="143"/>
      <c r="C35" s="143"/>
      <c r="D35" s="144"/>
      <c r="E35" s="143"/>
      <c r="F35" s="143"/>
      <c r="G35" s="145"/>
      <c r="H35" s="146">
        <f t="shared" ref="H35:AC35" si="41">G35</f>
        <v>0</v>
      </c>
      <c r="I35" s="146">
        <f t="shared" si="41"/>
        <v>0</v>
      </c>
      <c r="J35" s="146">
        <f t="shared" si="41"/>
        <v>0</v>
      </c>
      <c r="K35" s="146">
        <f t="shared" si="41"/>
        <v>0</v>
      </c>
      <c r="L35" s="146">
        <f t="shared" si="41"/>
        <v>0</v>
      </c>
      <c r="M35" s="146">
        <f t="shared" si="41"/>
        <v>0</v>
      </c>
      <c r="N35" s="146">
        <f t="shared" si="41"/>
        <v>0</v>
      </c>
      <c r="O35" s="146">
        <f t="shared" si="41"/>
        <v>0</v>
      </c>
      <c r="P35" s="146">
        <f t="shared" si="41"/>
        <v>0</v>
      </c>
      <c r="Q35" s="146">
        <f t="shared" si="41"/>
        <v>0</v>
      </c>
      <c r="R35" s="146">
        <f t="shared" si="41"/>
        <v>0</v>
      </c>
      <c r="S35" s="146">
        <f t="shared" si="41"/>
        <v>0</v>
      </c>
      <c r="T35" s="146">
        <f t="shared" si="41"/>
        <v>0</v>
      </c>
      <c r="U35" s="146">
        <f t="shared" si="41"/>
        <v>0</v>
      </c>
      <c r="V35" s="146">
        <f t="shared" si="41"/>
        <v>0</v>
      </c>
      <c r="W35" s="146">
        <f t="shared" si="41"/>
        <v>0</v>
      </c>
      <c r="X35" s="146">
        <f t="shared" si="41"/>
        <v>0</v>
      </c>
      <c r="Y35" s="146">
        <f t="shared" si="41"/>
        <v>0</v>
      </c>
      <c r="Z35" s="146">
        <f t="shared" si="41"/>
        <v>0</v>
      </c>
      <c r="AA35" s="146">
        <f t="shared" si="41"/>
        <v>0</v>
      </c>
      <c r="AB35" s="146">
        <f t="shared" si="41"/>
        <v>0</v>
      </c>
      <c r="AC35" s="146">
        <f t="shared" si="41"/>
        <v>0</v>
      </c>
    </row>
    <row r="36" spans="1:29" ht="26.4" x14ac:dyDescent="0.25">
      <c r="A36" s="154" t="s">
        <v>134</v>
      </c>
      <c r="B36" s="154" t="s">
        <v>134</v>
      </c>
      <c r="C36" s="143"/>
      <c r="D36" s="230" t="s">
        <v>99</v>
      </c>
      <c r="E36" s="162" t="s">
        <v>128</v>
      </c>
      <c r="F36" s="143"/>
      <c r="G36" s="164">
        <v>2</v>
      </c>
      <c r="H36" s="163">
        <f t="shared" ref="H36:AC36" si="42">G36</f>
        <v>2</v>
      </c>
      <c r="I36" s="163">
        <f t="shared" si="42"/>
        <v>2</v>
      </c>
      <c r="J36" s="163">
        <f t="shared" si="42"/>
        <v>2</v>
      </c>
      <c r="K36" s="163">
        <f t="shared" si="42"/>
        <v>2</v>
      </c>
      <c r="L36" s="163">
        <f t="shared" si="42"/>
        <v>2</v>
      </c>
      <c r="M36" s="163">
        <f t="shared" si="42"/>
        <v>2</v>
      </c>
      <c r="N36" s="163">
        <f t="shared" si="42"/>
        <v>2</v>
      </c>
      <c r="O36" s="163">
        <f t="shared" si="42"/>
        <v>2</v>
      </c>
      <c r="P36" s="163">
        <f t="shared" si="42"/>
        <v>2</v>
      </c>
      <c r="Q36" s="163">
        <f t="shared" si="42"/>
        <v>2</v>
      </c>
      <c r="R36" s="163">
        <f t="shared" si="42"/>
        <v>2</v>
      </c>
      <c r="S36" s="163">
        <f t="shared" si="42"/>
        <v>2</v>
      </c>
      <c r="T36" s="163">
        <f t="shared" si="42"/>
        <v>2</v>
      </c>
      <c r="U36" s="163">
        <f t="shared" si="42"/>
        <v>2</v>
      </c>
      <c r="V36" s="163">
        <f t="shared" si="42"/>
        <v>2</v>
      </c>
      <c r="W36" s="163">
        <f t="shared" si="42"/>
        <v>2</v>
      </c>
      <c r="X36" s="163">
        <f t="shared" si="42"/>
        <v>2</v>
      </c>
      <c r="Y36" s="163">
        <f t="shared" si="42"/>
        <v>2</v>
      </c>
      <c r="Z36" s="163">
        <f t="shared" si="42"/>
        <v>2</v>
      </c>
      <c r="AA36" s="163">
        <f t="shared" si="42"/>
        <v>2</v>
      </c>
      <c r="AB36" s="163">
        <f t="shared" si="42"/>
        <v>2</v>
      </c>
      <c r="AC36" s="163">
        <f t="shared" si="42"/>
        <v>2</v>
      </c>
    </row>
    <row r="37" spans="1:29" ht="13.2" x14ac:dyDescent="0.25">
      <c r="A37" s="143"/>
      <c r="B37" s="143"/>
      <c r="C37" s="143"/>
      <c r="D37" s="144"/>
      <c r="E37" s="143"/>
      <c r="F37" s="143"/>
      <c r="G37" s="145"/>
      <c r="H37" s="146">
        <f t="shared" ref="H37:AC37" si="43">G37</f>
        <v>0</v>
      </c>
      <c r="I37" s="146">
        <f t="shared" si="43"/>
        <v>0</v>
      </c>
      <c r="J37" s="146">
        <f t="shared" si="43"/>
        <v>0</v>
      </c>
      <c r="K37" s="146">
        <f t="shared" si="43"/>
        <v>0</v>
      </c>
      <c r="L37" s="146">
        <f t="shared" si="43"/>
        <v>0</v>
      </c>
      <c r="M37" s="146">
        <f t="shared" si="43"/>
        <v>0</v>
      </c>
      <c r="N37" s="146">
        <f t="shared" si="43"/>
        <v>0</v>
      </c>
      <c r="O37" s="146">
        <f t="shared" si="43"/>
        <v>0</v>
      </c>
      <c r="P37" s="146">
        <f t="shared" si="43"/>
        <v>0</v>
      </c>
      <c r="Q37" s="146">
        <f t="shared" si="43"/>
        <v>0</v>
      </c>
      <c r="R37" s="146">
        <f t="shared" si="43"/>
        <v>0</v>
      </c>
      <c r="S37" s="146">
        <f t="shared" si="43"/>
        <v>0</v>
      </c>
      <c r="T37" s="146">
        <f t="shared" si="43"/>
        <v>0</v>
      </c>
      <c r="U37" s="146">
        <f t="shared" si="43"/>
        <v>0</v>
      </c>
      <c r="V37" s="146">
        <f t="shared" si="43"/>
        <v>0</v>
      </c>
      <c r="W37" s="146">
        <f t="shared" si="43"/>
        <v>0</v>
      </c>
      <c r="X37" s="146">
        <f t="shared" si="43"/>
        <v>0</v>
      </c>
      <c r="Y37" s="146">
        <f t="shared" si="43"/>
        <v>0</v>
      </c>
      <c r="Z37" s="146">
        <f t="shared" si="43"/>
        <v>0</v>
      </c>
      <c r="AA37" s="146">
        <f t="shared" si="43"/>
        <v>0</v>
      </c>
      <c r="AB37" s="146">
        <f t="shared" si="43"/>
        <v>0</v>
      </c>
      <c r="AC37" s="146">
        <f t="shared" si="43"/>
        <v>0</v>
      </c>
    </row>
    <row r="38" spans="1:29" ht="13.2" x14ac:dyDescent="0.25">
      <c r="A38" s="143"/>
      <c r="B38" s="143"/>
      <c r="C38" s="143"/>
      <c r="D38" s="144"/>
      <c r="E38" s="143"/>
      <c r="F38" s="143"/>
      <c r="G38" s="145"/>
      <c r="H38" s="146">
        <f t="shared" ref="H38:AC38" si="44">G38</f>
        <v>0</v>
      </c>
      <c r="I38" s="146">
        <f t="shared" si="44"/>
        <v>0</v>
      </c>
      <c r="J38" s="146">
        <f t="shared" si="44"/>
        <v>0</v>
      </c>
      <c r="K38" s="146">
        <f t="shared" si="44"/>
        <v>0</v>
      </c>
      <c r="L38" s="146">
        <f t="shared" si="44"/>
        <v>0</v>
      </c>
      <c r="M38" s="146">
        <f t="shared" si="44"/>
        <v>0</v>
      </c>
      <c r="N38" s="146">
        <f t="shared" si="44"/>
        <v>0</v>
      </c>
      <c r="O38" s="146">
        <f t="shared" si="44"/>
        <v>0</v>
      </c>
      <c r="P38" s="146">
        <f t="shared" si="44"/>
        <v>0</v>
      </c>
      <c r="Q38" s="146">
        <f t="shared" si="44"/>
        <v>0</v>
      </c>
      <c r="R38" s="146">
        <f t="shared" si="44"/>
        <v>0</v>
      </c>
      <c r="S38" s="146">
        <f t="shared" si="44"/>
        <v>0</v>
      </c>
      <c r="T38" s="146">
        <f t="shared" si="44"/>
        <v>0</v>
      </c>
      <c r="U38" s="146">
        <f t="shared" si="44"/>
        <v>0</v>
      </c>
      <c r="V38" s="146">
        <f t="shared" si="44"/>
        <v>0</v>
      </c>
      <c r="W38" s="146">
        <f t="shared" si="44"/>
        <v>0</v>
      </c>
      <c r="X38" s="146">
        <f t="shared" si="44"/>
        <v>0</v>
      </c>
      <c r="Y38" s="146">
        <f t="shared" si="44"/>
        <v>0</v>
      </c>
      <c r="Z38" s="146">
        <f t="shared" si="44"/>
        <v>0</v>
      </c>
      <c r="AA38" s="146">
        <f t="shared" si="44"/>
        <v>0</v>
      </c>
      <c r="AB38" s="146">
        <f t="shared" si="44"/>
        <v>0</v>
      </c>
      <c r="AC38" s="146">
        <f t="shared" si="44"/>
        <v>0</v>
      </c>
    </row>
    <row r="39" spans="1:29" ht="13.2" x14ac:dyDescent="0.25">
      <c r="A39" s="143"/>
      <c r="B39" s="143"/>
      <c r="C39" s="143"/>
      <c r="D39" s="144"/>
      <c r="E39" s="143"/>
      <c r="F39" s="143"/>
      <c r="G39" s="145"/>
      <c r="H39" s="146">
        <f t="shared" ref="H39:AC39" si="45">G39</f>
        <v>0</v>
      </c>
      <c r="I39" s="146">
        <f t="shared" si="45"/>
        <v>0</v>
      </c>
      <c r="J39" s="146">
        <f t="shared" si="45"/>
        <v>0</v>
      </c>
      <c r="K39" s="146">
        <f t="shared" si="45"/>
        <v>0</v>
      </c>
      <c r="L39" s="146">
        <f t="shared" si="45"/>
        <v>0</v>
      </c>
      <c r="M39" s="146">
        <f t="shared" si="45"/>
        <v>0</v>
      </c>
      <c r="N39" s="146">
        <f t="shared" si="45"/>
        <v>0</v>
      </c>
      <c r="O39" s="146">
        <f t="shared" si="45"/>
        <v>0</v>
      </c>
      <c r="P39" s="146">
        <f t="shared" si="45"/>
        <v>0</v>
      </c>
      <c r="Q39" s="146">
        <f t="shared" si="45"/>
        <v>0</v>
      </c>
      <c r="R39" s="146">
        <f t="shared" si="45"/>
        <v>0</v>
      </c>
      <c r="S39" s="146">
        <f t="shared" si="45"/>
        <v>0</v>
      </c>
      <c r="T39" s="146">
        <f t="shared" si="45"/>
        <v>0</v>
      </c>
      <c r="U39" s="146">
        <f t="shared" si="45"/>
        <v>0</v>
      </c>
      <c r="V39" s="146">
        <f t="shared" si="45"/>
        <v>0</v>
      </c>
      <c r="W39" s="146">
        <f t="shared" si="45"/>
        <v>0</v>
      </c>
      <c r="X39" s="146">
        <f t="shared" si="45"/>
        <v>0</v>
      </c>
      <c r="Y39" s="146">
        <f t="shared" si="45"/>
        <v>0</v>
      </c>
      <c r="Z39" s="146">
        <f t="shared" si="45"/>
        <v>0</v>
      </c>
      <c r="AA39" s="146">
        <f t="shared" si="45"/>
        <v>0</v>
      </c>
      <c r="AB39" s="146">
        <f t="shared" si="45"/>
        <v>0</v>
      </c>
      <c r="AC39" s="146">
        <f t="shared" si="45"/>
        <v>0</v>
      </c>
    </row>
    <row r="40" spans="1:29" ht="13.2" x14ac:dyDescent="0.25">
      <c r="A40" s="143"/>
      <c r="B40" s="143"/>
      <c r="C40" s="143"/>
      <c r="D40" s="144"/>
      <c r="E40" s="143"/>
      <c r="F40" s="143"/>
      <c r="G40" s="145"/>
      <c r="H40" s="146">
        <f t="shared" ref="H40:AC40" si="46">G40</f>
        <v>0</v>
      </c>
      <c r="I40" s="146">
        <f t="shared" si="46"/>
        <v>0</v>
      </c>
      <c r="J40" s="146">
        <f t="shared" si="46"/>
        <v>0</v>
      </c>
      <c r="K40" s="146">
        <f t="shared" si="46"/>
        <v>0</v>
      </c>
      <c r="L40" s="146">
        <f t="shared" si="46"/>
        <v>0</v>
      </c>
      <c r="M40" s="146">
        <f t="shared" si="46"/>
        <v>0</v>
      </c>
      <c r="N40" s="146">
        <f t="shared" si="46"/>
        <v>0</v>
      </c>
      <c r="O40" s="146">
        <f t="shared" si="46"/>
        <v>0</v>
      </c>
      <c r="P40" s="146">
        <f t="shared" si="46"/>
        <v>0</v>
      </c>
      <c r="Q40" s="146">
        <f t="shared" si="46"/>
        <v>0</v>
      </c>
      <c r="R40" s="146">
        <f t="shared" si="46"/>
        <v>0</v>
      </c>
      <c r="S40" s="146">
        <f t="shared" si="46"/>
        <v>0</v>
      </c>
      <c r="T40" s="146">
        <f t="shared" si="46"/>
        <v>0</v>
      </c>
      <c r="U40" s="146">
        <f t="shared" si="46"/>
        <v>0</v>
      </c>
      <c r="V40" s="146">
        <f t="shared" si="46"/>
        <v>0</v>
      </c>
      <c r="W40" s="146">
        <f t="shared" si="46"/>
        <v>0</v>
      </c>
      <c r="X40" s="146">
        <f t="shared" si="46"/>
        <v>0</v>
      </c>
      <c r="Y40" s="146">
        <f t="shared" si="46"/>
        <v>0</v>
      </c>
      <c r="Z40" s="146">
        <f t="shared" si="46"/>
        <v>0</v>
      </c>
      <c r="AA40" s="146">
        <f t="shared" si="46"/>
        <v>0</v>
      </c>
      <c r="AB40" s="146">
        <f t="shared" si="46"/>
        <v>0</v>
      </c>
      <c r="AC40" s="146">
        <f t="shared" si="46"/>
        <v>0</v>
      </c>
    </row>
    <row r="41" spans="1:29" ht="13.2" x14ac:dyDescent="0.25">
      <c r="A41" s="143"/>
      <c r="B41" s="143"/>
      <c r="C41" s="143"/>
      <c r="D41" s="144"/>
      <c r="E41" s="143"/>
      <c r="F41" s="143"/>
      <c r="G41" s="145"/>
      <c r="H41" s="146">
        <f t="shared" ref="H41:AC41" si="47">G41</f>
        <v>0</v>
      </c>
      <c r="I41" s="146">
        <f t="shared" si="47"/>
        <v>0</v>
      </c>
      <c r="J41" s="146">
        <f t="shared" si="47"/>
        <v>0</v>
      </c>
      <c r="K41" s="146">
        <f t="shared" si="47"/>
        <v>0</v>
      </c>
      <c r="L41" s="146">
        <f t="shared" si="47"/>
        <v>0</v>
      </c>
      <c r="M41" s="146">
        <f t="shared" si="47"/>
        <v>0</v>
      </c>
      <c r="N41" s="146">
        <f t="shared" si="47"/>
        <v>0</v>
      </c>
      <c r="O41" s="146">
        <f t="shared" si="47"/>
        <v>0</v>
      </c>
      <c r="P41" s="146">
        <f t="shared" si="47"/>
        <v>0</v>
      </c>
      <c r="Q41" s="146">
        <f t="shared" si="47"/>
        <v>0</v>
      </c>
      <c r="R41" s="146">
        <f t="shared" si="47"/>
        <v>0</v>
      </c>
      <c r="S41" s="146">
        <f t="shared" si="47"/>
        <v>0</v>
      </c>
      <c r="T41" s="146">
        <f t="shared" si="47"/>
        <v>0</v>
      </c>
      <c r="U41" s="146">
        <f t="shared" si="47"/>
        <v>0</v>
      </c>
      <c r="V41" s="146">
        <f t="shared" si="47"/>
        <v>0</v>
      </c>
      <c r="W41" s="146">
        <f t="shared" si="47"/>
        <v>0</v>
      </c>
      <c r="X41" s="146">
        <f t="shared" si="47"/>
        <v>0</v>
      </c>
      <c r="Y41" s="146">
        <f t="shared" si="47"/>
        <v>0</v>
      </c>
      <c r="Z41" s="146">
        <f t="shared" si="47"/>
        <v>0</v>
      </c>
      <c r="AA41" s="146">
        <f t="shared" si="47"/>
        <v>0</v>
      </c>
      <c r="AB41" s="146">
        <f t="shared" si="47"/>
        <v>0</v>
      </c>
      <c r="AC41" s="146">
        <f t="shared" si="47"/>
        <v>0</v>
      </c>
    </row>
    <row r="42" spans="1:29" ht="13.2" x14ac:dyDescent="0.25">
      <c r="A42" s="143"/>
      <c r="B42" s="143"/>
      <c r="C42" s="143"/>
      <c r="D42" s="144"/>
      <c r="E42" s="143"/>
      <c r="F42" s="143"/>
      <c r="G42" s="145"/>
      <c r="H42" s="146">
        <f t="shared" ref="H42:AC42" si="48">G42</f>
        <v>0</v>
      </c>
      <c r="I42" s="146">
        <f t="shared" si="48"/>
        <v>0</v>
      </c>
      <c r="J42" s="146">
        <f t="shared" si="48"/>
        <v>0</v>
      </c>
      <c r="K42" s="146">
        <f t="shared" si="48"/>
        <v>0</v>
      </c>
      <c r="L42" s="146">
        <f t="shared" si="48"/>
        <v>0</v>
      </c>
      <c r="M42" s="146">
        <f t="shared" si="48"/>
        <v>0</v>
      </c>
      <c r="N42" s="146">
        <f t="shared" si="48"/>
        <v>0</v>
      </c>
      <c r="O42" s="146">
        <f t="shared" si="48"/>
        <v>0</v>
      </c>
      <c r="P42" s="146">
        <f t="shared" si="48"/>
        <v>0</v>
      </c>
      <c r="Q42" s="146">
        <f t="shared" si="48"/>
        <v>0</v>
      </c>
      <c r="R42" s="146">
        <f t="shared" si="48"/>
        <v>0</v>
      </c>
      <c r="S42" s="146">
        <f t="shared" si="48"/>
        <v>0</v>
      </c>
      <c r="T42" s="146">
        <f t="shared" si="48"/>
        <v>0</v>
      </c>
      <c r="U42" s="146">
        <f t="shared" si="48"/>
        <v>0</v>
      </c>
      <c r="V42" s="146">
        <f t="shared" si="48"/>
        <v>0</v>
      </c>
      <c r="W42" s="146">
        <f t="shared" si="48"/>
        <v>0</v>
      </c>
      <c r="X42" s="146">
        <f t="shared" si="48"/>
        <v>0</v>
      </c>
      <c r="Y42" s="146">
        <f t="shared" si="48"/>
        <v>0</v>
      </c>
      <c r="Z42" s="146">
        <f t="shared" si="48"/>
        <v>0</v>
      </c>
      <c r="AA42" s="146">
        <f t="shared" si="48"/>
        <v>0</v>
      </c>
      <c r="AB42" s="146">
        <f t="shared" si="48"/>
        <v>0</v>
      </c>
      <c r="AC42" s="146">
        <f t="shared" si="48"/>
        <v>0</v>
      </c>
    </row>
    <row r="43" spans="1:29" ht="13.2" x14ac:dyDescent="0.25">
      <c r="A43" s="143"/>
      <c r="B43" s="143"/>
      <c r="C43" s="143"/>
      <c r="D43" s="144"/>
      <c r="E43" s="143"/>
      <c r="F43" s="143"/>
      <c r="G43" s="145"/>
      <c r="H43" s="146">
        <f t="shared" ref="H43:AC43" si="49">G43</f>
        <v>0</v>
      </c>
      <c r="I43" s="146">
        <f t="shared" si="49"/>
        <v>0</v>
      </c>
      <c r="J43" s="146">
        <f t="shared" si="49"/>
        <v>0</v>
      </c>
      <c r="K43" s="146">
        <f t="shared" si="49"/>
        <v>0</v>
      </c>
      <c r="L43" s="146">
        <f t="shared" si="49"/>
        <v>0</v>
      </c>
      <c r="M43" s="146">
        <f t="shared" si="49"/>
        <v>0</v>
      </c>
      <c r="N43" s="146">
        <f t="shared" si="49"/>
        <v>0</v>
      </c>
      <c r="O43" s="146">
        <f t="shared" si="49"/>
        <v>0</v>
      </c>
      <c r="P43" s="146">
        <f t="shared" si="49"/>
        <v>0</v>
      </c>
      <c r="Q43" s="146">
        <f t="shared" si="49"/>
        <v>0</v>
      </c>
      <c r="R43" s="146">
        <f t="shared" si="49"/>
        <v>0</v>
      </c>
      <c r="S43" s="146">
        <f t="shared" si="49"/>
        <v>0</v>
      </c>
      <c r="T43" s="146">
        <f t="shared" si="49"/>
        <v>0</v>
      </c>
      <c r="U43" s="146">
        <f t="shared" si="49"/>
        <v>0</v>
      </c>
      <c r="V43" s="146">
        <f t="shared" si="49"/>
        <v>0</v>
      </c>
      <c r="W43" s="146">
        <f t="shared" si="49"/>
        <v>0</v>
      </c>
      <c r="X43" s="146">
        <f t="shared" si="49"/>
        <v>0</v>
      </c>
      <c r="Y43" s="146">
        <f t="shared" si="49"/>
        <v>0</v>
      </c>
      <c r="Z43" s="146">
        <f t="shared" si="49"/>
        <v>0</v>
      </c>
      <c r="AA43" s="146">
        <f t="shared" si="49"/>
        <v>0</v>
      </c>
      <c r="AB43" s="146">
        <f t="shared" si="49"/>
        <v>0</v>
      </c>
      <c r="AC43" s="146">
        <f t="shared" si="49"/>
        <v>0</v>
      </c>
    </row>
    <row r="44" spans="1:29" ht="13.2" x14ac:dyDescent="0.25">
      <c r="A44" s="143"/>
      <c r="B44" s="143"/>
      <c r="C44" s="143"/>
      <c r="D44" s="144"/>
      <c r="E44" s="143"/>
      <c r="F44" s="143"/>
      <c r="G44" s="145"/>
      <c r="H44" s="146">
        <f t="shared" ref="H44:AC44" si="50">G44</f>
        <v>0</v>
      </c>
      <c r="I44" s="146">
        <f t="shared" si="50"/>
        <v>0</v>
      </c>
      <c r="J44" s="146">
        <f t="shared" si="50"/>
        <v>0</v>
      </c>
      <c r="K44" s="146">
        <f t="shared" si="50"/>
        <v>0</v>
      </c>
      <c r="L44" s="146">
        <f t="shared" si="50"/>
        <v>0</v>
      </c>
      <c r="M44" s="146">
        <f t="shared" si="50"/>
        <v>0</v>
      </c>
      <c r="N44" s="146">
        <f t="shared" si="50"/>
        <v>0</v>
      </c>
      <c r="O44" s="146">
        <f t="shared" si="50"/>
        <v>0</v>
      </c>
      <c r="P44" s="146">
        <f t="shared" si="50"/>
        <v>0</v>
      </c>
      <c r="Q44" s="146">
        <f t="shared" si="50"/>
        <v>0</v>
      </c>
      <c r="R44" s="146">
        <f t="shared" si="50"/>
        <v>0</v>
      </c>
      <c r="S44" s="146">
        <f t="shared" si="50"/>
        <v>0</v>
      </c>
      <c r="T44" s="146">
        <f t="shared" si="50"/>
        <v>0</v>
      </c>
      <c r="U44" s="146">
        <f t="shared" si="50"/>
        <v>0</v>
      </c>
      <c r="V44" s="146">
        <f t="shared" si="50"/>
        <v>0</v>
      </c>
      <c r="W44" s="146">
        <f t="shared" si="50"/>
        <v>0</v>
      </c>
      <c r="X44" s="146">
        <f t="shared" si="50"/>
        <v>0</v>
      </c>
      <c r="Y44" s="146">
        <f t="shared" si="50"/>
        <v>0</v>
      </c>
      <c r="Z44" s="146">
        <f t="shared" si="50"/>
        <v>0</v>
      </c>
      <c r="AA44" s="146">
        <f t="shared" si="50"/>
        <v>0</v>
      </c>
      <c r="AB44" s="146">
        <f t="shared" si="50"/>
        <v>0</v>
      </c>
      <c r="AC44" s="146">
        <f t="shared" si="50"/>
        <v>0</v>
      </c>
    </row>
    <row r="45" spans="1:29" ht="13.2" x14ac:dyDescent="0.25">
      <c r="A45" s="143"/>
      <c r="B45" s="143"/>
      <c r="C45" s="143"/>
      <c r="D45" s="144"/>
      <c r="E45" s="143"/>
      <c r="F45" s="143"/>
      <c r="G45" s="145"/>
      <c r="H45" s="146">
        <f t="shared" ref="H45:AC45" si="51">G45</f>
        <v>0</v>
      </c>
      <c r="I45" s="146">
        <f t="shared" si="51"/>
        <v>0</v>
      </c>
      <c r="J45" s="146">
        <f t="shared" si="51"/>
        <v>0</v>
      </c>
      <c r="K45" s="146">
        <f t="shared" si="51"/>
        <v>0</v>
      </c>
      <c r="L45" s="146">
        <f t="shared" si="51"/>
        <v>0</v>
      </c>
      <c r="M45" s="146">
        <f t="shared" si="51"/>
        <v>0</v>
      </c>
      <c r="N45" s="146">
        <f t="shared" si="51"/>
        <v>0</v>
      </c>
      <c r="O45" s="146">
        <f t="shared" si="51"/>
        <v>0</v>
      </c>
      <c r="P45" s="146">
        <f t="shared" si="51"/>
        <v>0</v>
      </c>
      <c r="Q45" s="146">
        <f t="shared" si="51"/>
        <v>0</v>
      </c>
      <c r="R45" s="146">
        <f t="shared" si="51"/>
        <v>0</v>
      </c>
      <c r="S45" s="146">
        <f t="shared" si="51"/>
        <v>0</v>
      </c>
      <c r="T45" s="146">
        <f t="shared" si="51"/>
        <v>0</v>
      </c>
      <c r="U45" s="146">
        <f t="shared" si="51"/>
        <v>0</v>
      </c>
      <c r="V45" s="146">
        <f t="shared" si="51"/>
        <v>0</v>
      </c>
      <c r="W45" s="146">
        <f t="shared" si="51"/>
        <v>0</v>
      </c>
      <c r="X45" s="146">
        <f t="shared" si="51"/>
        <v>0</v>
      </c>
      <c r="Y45" s="146">
        <f t="shared" si="51"/>
        <v>0</v>
      </c>
      <c r="Z45" s="146">
        <f t="shared" si="51"/>
        <v>0</v>
      </c>
      <c r="AA45" s="146">
        <f t="shared" si="51"/>
        <v>0</v>
      </c>
      <c r="AB45" s="146">
        <f t="shared" si="51"/>
        <v>0</v>
      </c>
      <c r="AC45" s="146">
        <f t="shared" si="51"/>
        <v>0</v>
      </c>
    </row>
    <row r="46" spans="1:29" ht="13.2" x14ac:dyDescent="0.25">
      <c r="A46" s="143"/>
      <c r="B46" s="143"/>
      <c r="C46" s="143"/>
      <c r="D46" s="144"/>
      <c r="E46" s="143"/>
      <c r="F46" s="143"/>
      <c r="G46" s="145"/>
      <c r="H46" s="146">
        <f t="shared" ref="H46:AC46" si="52">G46</f>
        <v>0</v>
      </c>
      <c r="I46" s="146">
        <f t="shared" si="52"/>
        <v>0</v>
      </c>
      <c r="J46" s="146">
        <f t="shared" si="52"/>
        <v>0</v>
      </c>
      <c r="K46" s="146">
        <f t="shared" si="52"/>
        <v>0</v>
      </c>
      <c r="L46" s="146">
        <f t="shared" si="52"/>
        <v>0</v>
      </c>
      <c r="M46" s="146">
        <f t="shared" si="52"/>
        <v>0</v>
      </c>
      <c r="N46" s="146">
        <f t="shared" si="52"/>
        <v>0</v>
      </c>
      <c r="O46" s="146">
        <f t="shared" si="52"/>
        <v>0</v>
      </c>
      <c r="P46" s="146">
        <f t="shared" si="52"/>
        <v>0</v>
      </c>
      <c r="Q46" s="146">
        <f t="shared" si="52"/>
        <v>0</v>
      </c>
      <c r="R46" s="146">
        <f t="shared" si="52"/>
        <v>0</v>
      </c>
      <c r="S46" s="146">
        <f t="shared" si="52"/>
        <v>0</v>
      </c>
      <c r="T46" s="146">
        <f t="shared" si="52"/>
        <v>0</v>
      </c>
      <c r="U46" s="146">
        <f t="shared" si="52"/>
        <v>0</v>
      </c>
      <c r="V46" s="146">
        <f t="shared" si="52"/>
        <v>0</v>
      </c>
      <c r="W46" s="146">
        <f t="shared" si="52"/>
        <v>0</v>
      </c>
      <c r="X46" s="146">
        <f t="shared" si="52"/>
        <v>0</v>
      </c>
      <c r="Y46" s="146">
        <f t="shared" si="52"/>
        <v>0</v>
      </c>
      <c r="Z46" s="146">
        <f t="shared" si="52"/>
        <v>0</v>
      </c>
      <c r="AA46" s="146">
        <f t="shared" si="52"/>
        <v>0</v>
      </c>
      <c r="AB46" s="146">
        <f t="shared" si="52"/>
        <v>0</v>
      </c>
      <c r="AC46" s="146">
        <f t="shared" si="52"/>
        <v>0</v>
      </c>
    </row>
    <row r="47" spans="1:29" ht="13.2" x14ac:dyDescent="0.25">
      <c r="A47" s="143"/>
      <c r="B47" s="143"/>
      <c r="C47" s="143"/>
      <c r="D47" s="144"/>
      <c r="E47" s="143"/>
      <c r="F47" s="143"/>
      <c r="G47" s="145"/>
      <c r="H47" s="146">
        <f t="shared" ref="H47:AC47" si="53">G47</f>
        <v>0</v>
      </c>
      <c r="I47" s="146">
        <f t="shared" si="53"/>
        <v>0</v>
      </c>
      <c r="J47" s="146">
        <f t="shared" si="53"/>
        <v>0</v>
      </c>
      <c r="K47" s="146">
        <f t="shared" si="53"/>
        <v>0</v>
      </c>
      <c r="L47" s="146">
        <f t="shared" si="53"/>
        <v>0</v>
      </c>
      <c r="M47" s="146">
        <f t="shared" si="53"/>
        <v>0</v>
      </c>
      <c r="N47" s="146">
        <f t="shared" si="53"/>
        <v>0</v>
      </c>
      <c r="O47" s="146">
        <f t="shared" si="53"/>
        <v>0</v>
      </c>
      <c r="P47" s="146">
        <f t="shared" si="53"/>
        <v>0</v>
      </c>
      <c r="Q47" s="146">
        <f t="shared" si="53"/>
        <v>0</v>
      </c>
      <c r="R47" s="146">
        <f t="shared" si="53"/>
        <v>0</v>
      </c>
      <c r="S47" s="146">
        <f t="shared" si="53"/>
        <v>0</v>
      </c>
      <c r="T47" s="146">
        <f t="shared" si="53"/>
        <v>0</v>
      </c>
      <c r="U47" s="146">
        <f t="shared" si="53"/>
        <v>0</v>
      </c>
      <c r="V47" s="146">
        <f t="shared" si="53"/>
        <v>0</v>
      </c>
      <c r="W47" s="146">
        <f t="shared" si="53"/>
        <v>0</v>
      </c>
      <c r="X47" s="146">
        <f t="shared" si="53"/>
        <v>0</v>
      </c>
      <c r="Y47" s="146">
        <f t="shared" si="53"/>
        <v>0</v>
      </c>
      <c r="Z47" s="146">
        <f t="shared" si="53"/>
        <v>0</v>
      </c>
      <c r="AA47" s="146">
        <f t="shared" si="53"/>
        <v>0</v>
      </c>
      <c r="AB47" s="146">
        <f t="shared" si="53"/>
        <v>0</v>
      </c>
      <c r="AC47" s="146">
        <f t="shared" si="53"/>
        <v>0</v>
      </c>
    </row>
    <row r="48" spans="1:29" ht="13.2" x14ac:dyDescent="0.25">
      <c r="A48" s="143"/>
      <c r="B48" s="143"/>
      <c r="C48" s="143"/>
      <c r="D48" s="144"/>
      <c r="E48" s="143"/>
      <c r="F48" s="143"/>
      <c r="G48" s="145"/>
      <c r="H48" s="146">
        <f t="shared" ref="H48:AC48" si="54">G48</f>
        <v>0</v>
      </c>
      <c r="I48" s="146">
        <f t="shared" si="54"/>
        <v>0</v>
      </c>
      <c r="J48" s="146">
        <f t="shared" si="54"/>
        <v>0</v>
      </c>
      <c r="K48" s="146">
        <f t="shared" si="54"/>
        <v>0</v>
      </c>
      <c r="L48" s="146">
        <f t="shared" si="54"/>
        <v>0</v>
      </c>
      <c r="M48" s="146">
        <f t="shared" si="54"/>
        <v>0</v>
      </c>
      <c r="N48" s="146">
        <f t="shared" si="54"/>
        <v>0</v>
      </c>
      <c r="O48" s="146">
        <f t="shared" si="54"/>
        <v>0</v>
      </c>
      <c r="P48" s="146">
        <f t="shared" si="54"/>
        <v>0</v>
      </c>
      <c r="Q48" s="146">
        <f t="shared" si="54"/>
        <v>0</v>
      </c>
      <c r="R48" s="146">
        <f t="shared" si="54"/>
        <v>0</v>
      </c>
      <c r="S48" s="146">
        <f t="shared" si="54"/>
        <v>0</v>
      </c>
      <c r="T48" s="146">
        <f t="shared" si="54"/>
        <v>0</v>
      </c>
      <c r="U48" s="146">
        <f t="shared" si="54"/>
        <v>0</v>
      </c>
      <c r="V48" s="146">
        <f t="shared" si="54"/>
        <v>0</v>
      </c>
      <c r="W48" s="146">
        <f t="shared" si="54"/>
        <v>0</v>
      </c>
      <c r="X48" s="146">
        <f t="shared" si="54"/>
        <v>0</v>
      </c>
      <c r="Y48" s="146">
        <f t="shared" si="54"/>
        <v>0</v>
      </c>
      <c r="Z48" s="146">
        <f t="shared" si="54"/>
        <v>0</v>
      </c>
      <c r="AA48" s="146">
        <f t="shared" si="54"/>
        <v>0</v>
      </c>
      <c r="AB48" s="146">
        <f t="shared" si="54"/>
        <v>0</v>
      </c>
      <c r="AC48" s="146">
        <f t="shared" si="54"/>
        <v>0</v>
      </c>
    </row>
    <row r="49" spans="1:29" ht="13.2" x14ac:dyDescent="0.25">
      <c r="A49" s="143"/>
      <c r="B49" s="143"/>
      <c r="C49" s="143"/>
      <c r="D49" s="144"/>
      <c r="E49" s="143"/>
      <c r="F49" s="143"/>
      <c r="G49" s="145"/>
      <c r="H49" s="146">
        <f t="shared" ref="H49:AC49" si="55">G49</f>
        <v>0</v>
      </c>
      <c r="I49" s="146">
        <f t="shared" si="55"/>
        <v>0</v>
      </c>
      <c r="J49" s="146">
        <f t="shared" si="55"/>
        <v>0</v>
      </c>
      <c r="K49" s="146">
        <f t="shared" si="55"/>
        <v>0</v>
      </c>
      <c r="L49" s="146">
        <f t="shared" si="55"/>
        <v>0</v>
      </c>
      <c r="M49" s="146">
        <f t="shared" si="55"/>
        <v>0</v>
      </c>
      <c r="N49" s="146">
        <f t="shared" si="55"/>
        <v>0</v>
      </c>
      <c r="O49" s="146">
        <f t="shared" si="55"/>
        <v>0</v>
      </c>
      <c r="P49" s="146">
        <f t="shared" si="55"/>
        <v>0</v>
      </c>
      <c r="Q49" s="146">
        <f t="shared" si="55"/>
        <v>0</v>
      </c>
      <c r="R49" s="146">
        <f t="shared" si="55"/>
        <v>0</v>
      </c>
      <c r="S49" s="146">
        <f t="shared" si="55"/>
        <v>0</v>
      </c>
      <c r="T49" s="146">
        <f t="shared" si="55"/>
        <v>0</v>
      </c>
      <c r="U49" s="146">
        <f t="shared" si="55"/>
        <v>0</v>
      </c>
      <c r="V49" s="146">
        <f t="shared" si="55"/>
        <v>0</v>
      </c>
      <c r="W49" s="146">
        <f t="shared" si="55"/>
        <v>0</v>
      </c>
      <c r="X49" s="146">
        <f t="shared" si="55"/>
        <v>0</v>
      </c>
      <c r="Y49" s="146">
        <f t="shared" si="55"/>
        <v>0</v>
      </c>
      <c r="Z49" s="146">
        <f t="shared" si="55"/>
        <v>0</v>
      </c>
      <c r="AA49" s="146">
        <f t="shared" si="55"/>
        <v>0</v>
      </c>
      <c r="AB49" s="146">
        <f t="shared" si="55"/>
        <v>0</v>
      </c>
      <c r="AC49" s="146">
        <f t="shared" si="55"/>
        <v>0</v>
      </c>
    </row>
    <row r="50" spans="1:29" ht="13.2" x14ac:dyDescent="0.25">
      <c r="A50" s="143"/>
      <c r="B50" s="143"/>
      <c r="C50" s="143"/>
      <c r="D50" s="144"/>
      <c r="E50" s="143"/>
      <c r="F50" s="143"/>
      <c r="G50" s="145"/>
      <c r="H50" s="146">
        <f t="shared" ref="H50:AC50" si="56">G50</f>
        <v>0</v>
      </c>
      <c r="I50" s="146">
        <f t="shared" si="56"/>
        <v>0</v>
      </c>
      <c r="J50" s="146">
        <f t="shared" si="56"/>
        <v>0</v>
      </c>
      <c r="K50" s="146">
        <f t="shared" si="56"/>
        <v>0</v>
      </c>
      <c r="L50" s="146">
        <f t="shared" si="56"/>
        <v>0</v>
      </c>
      <c r="M50" s="146">
        <f t="shared" si="56"/>
        <v>0</v>
      </c>
      <c r="N50" s="146">
        <f t="shared" si="56"/>
        <v>0</v>
      </c>
      <c r="O50" s="146">
        <f t="shared" si="56"/>
        <v>0</v>
      </c>
      <c r="P50" s="146">
        <f t="shared" si="56"/>
        <v>0</v>
      </c>
      <c r="Q50" s="146">
        <f t="shared" si="56"/>
        <v>0</v>
      </c>
      <c r="R50" s="146">
        <f t="shared" si="56"/>
        <v>0</v>
      </c>
      <c r="S50" s="146">
        <f t="shared" si="56"/>
        <v>0</v>
      </c>
      <c r="T50" s="146">
        <f t="shared" si="56"/>
        <v>0</v>
      </c>
      <c r="U50" s="146">
        <f t="shared" si="56"/>
        <v>0</v>
      </c>
      <c r="V50" s="146">
        <f t="shared" si="56"/>
        <v>0</v>
      </c>
      <c r="W50" s="146">
        <f t="shared" si="56"/>
        <v>0</v>
      </c>
      <c r="X50" s="146">
        <f t="shared" si="56"/>
        <v>0</v>
      </c>
      <c r="Y50" s="146">
        <f t="shared" si="56"/>
        <v>0</v>
      </c>
      <c r="Z50" s="146">
        <f t="shared" si="56"/>
        <v>0</v>
      </c>
      <c r="AA50" s="146">
        <f t="shared" si="56"/>
        <v>0</v>
      </c>
      <c r="AB50" s="146">
        <f t="shared" si="56"/>
        <v>0</v>
      </c>
      <c r="AC50" s="146">
        <f t="shared" si="56"/>
        <v>0</v>
      </c>
    </row>
    <row r="51" spans="1:29" ht="13.2" x14ac:dyDescent="0.25">
      <c r="A51" s="143"/>
      <c r="B51" s="143"/>
      <c r="C51" s="143"/>
      <c r="D51" s="144"/>
      <c r="E51" s="143"/>
      <c r="F51" s="143"/>
      <c r="G51" s="145"/>
      <c r="H51" s="146">
        <f t="shared" ref="H51:AC51" si="57">G51</f>
        <v>0</v>
      </c>
      <c r="I51" s="146">
        <f t="shared" si="57"/>
        <v>0</v>
      </c>
      <c r="J51" s="146">
        <f t="shared" si="57"/>
        <v>0</v>
      </c>
      <c r="K51" s="146">
        <f t="shared" si="57"/>
        <v>0</v>
      </c>
      <c r="L51" s="146">
        <f t="shared" si="57"/>
        <v>0</v>
      </c>
      <c r="M51" s="146">
        <f t="shared" si="57"/>
        <v>0</v>
      </c>
      <c r="N51" s="146">
        <f t="shared" si="57"/>
        <v>0</v>
      </c>
      <c r="O51" s="146">
        <f t="shared" si="57"/>
        <v>0</v>
      </c>
      <c r="P51" s="146">
        <f t="shared" si="57"/>
        <v>0</v>
      </c>
      <c r="Q51" s="146">
        <f t="shared" si="57"/>
        <v>0</v>
      </c>
      <c r="R51" s="146">
        <f t="shared" si="57"/>
        <v>0</v>
      </c>
      <c r="S51" s="146">
        <f t="shared" si="57"/>
        <v>0</v>
      </c>
      <c r="T51" s="146">
        <f t="shared" si="57"/>
        <v>0</v>
      </c>
      <c r="U51" s="146">
        <f t="shared" si="57"/>
        <v>0</v>
      </c>
      <c r="V51" s="146">
        <f t="shared" si="57"/>
        <v>0</v>
      </c>
      <c r="W51" s="146">
        <f t="shared" si="57"/>
        <v>0</v>
      </c>
      <c r="X51" s="146">
        <f t="shared" si="57"/>
        <v>0</v>
      </c>
      <c r="Y51" s="146">
        <f t="shared" si="57"/>
        <v>0</v>
      </c>
      <c r="Z51" s="146">
        <f t="shared" si="57"/>
        <v>0</v>
      </c>
      <c r="AA51" s="146">
        <f t="shared" si="57"/>
        <v>0</v>
      </c>
      <c r="AB51" s="146">
        <f t="shared" si="57"/>
        <v>0</v>
      </c>
      <c r="AC51" s="146">
        <f t="shared" si="57"/>
        <v>0</v>
      </c>
    </row>
    <row r="52" spans="1:29" ht="13.2" x14ac:dyDescent="0.25">
      <c r="A52" s="143"/>
      <c r="B52" s="143"/>
      <c r="C52" s="143"/>
      <c r="D52" s="144"/>
      <c r="E52" s="143"/>
      <c r="F52" s="143"/>
      <c r="G52" s="145"/>
      <c r="H52" s="146">
        <f t="shared" ref="H52:AC52" si="58">G52</f>
        <v>0</v>
      </c>
      <c r="I52" s="146">
        <f t="shared" si="58"/>
        <v>0</v>
      </c>
      <c r="J52" s="146">
        <f t="shared" si="58"/>
        <v>0</v>
      </c>
      <c r="K52" s="146">
        <f t="shared" si="58"/>
        <v>0</v>
      </c>
      <c r="L52" s="146">
        <f t="shared" si="58"/>
        <v>0</v>
      </c>
      <c r="M52" s="146">
        <f t="shared" si="58"/>
        <v>0</v>
      </c>
      <c r="N52" s="146">
        <f t="shared" si="58"/>
        <v>0</v>
      </c>
      <c r="O52" s="146">
        <f t="shared" si="58"/>
        <v>0</v>
      </c>
      <c r="P52" s="146">
        <f t="shared" si="58"/>
        <v>0</v>
      </c>
      <c r="Q52" s="146">
        <f t="shared" si="58"/>
        <v>0</v>
      </c>
      <c r="R52" s="146">
        <f t="shared" si="58"/>
        <v>0</v>
      </c>
      <c r="S52" s="146">
        <f t="shared" si="58"/>
        <v>0</v>
      </c>
      <c r="T52" s="146">
        <f t="shared" si="58"/>
        <v>0</v>
      </c>
      <c r="U52" s="146">
        <f t="shared" si="58"/>
        <v>0</v>
      </c>
      <c r="V52" s="146">
        <f t="shared" si="58"/>
        <v>0</v>
      </c>
      <c r="W52" s="146">
        <f t="shared" si="58"/>
        <v>0</v>
      </c>
      <c r="X52" s="146">
        <f t="shared" si="58"/>
        <v>0</v>
      </c>
      <c r="Y52" s="146">
        <f t="shared" si="58"/>
        <v>0</v>
      </c>
      <c r="Z52" s="146">
        <f t="shared" si="58"/>
        <v>0</v>
      </c>
      <c r="AA52" s="146">
        <f t="shared" si="58"/>
        <v>0</v>
      </c>
      <c r="AB52" s="146">
        <f t="shared" si="58"/>
        <v>0</v>
      </c>
      <c r="AC52" s="146">
        <f t="shared" si="58"/>
        <v>0</v>
      </c>
    </row>
    <row r="53" spans="1:29" ht="13.2" x14ac:dyDescent="0.25">
      <c r="A53" s="143"/>
      <c r="B53" s="143"/>
      <c r="C53" s="143"/>
      <c r="D53" s="144"/>
      <c r="E53" s="143"/>
      <c r="F53" s="143"/>
      <c r="G53" s="145"/>
      <c r="H53" s="146">
        <f t="shared" ref="H53:AC53" si="59">G53</f>
        <v>0</v>
      </c>
      <c r="I53" s="146">
        <f t="shared" si="59"/>
        <v>0</v>
      </c>
      <c r="J53" s="146">
        <f t="shared" si="59"/>
        <v>0</v>
      </c>
      <c r="K53" s="146">
        <f t="shared" si="59"/>
        <v>0</v>
      </c>
      <c r="L53" s="146">
        <f t="shared" si="59"/>
        <v>0</v>
      </c>
      <c r="M53" s="146">
        <f t="shared" si="59"/>
        <v>0</v>
      </c>
      <c r="N53" s="146">
        <f t="shared" si="59"/>
        <v>0</v>
      </c>
      <c r="O53" s="146">
        <f t="shared" si="59"/>
        <v>0</v>
      </c>
      <c r="P53" s="146">
        <f t="shared" si="59"/>
        <v>0</v>
      </c>
      <c r="Q53" s="146">
        <f t="shared" si="59"/>
        <v>0</v>
      </c>
      <c r="R53" s="146">
        <f t="shared" si="59"/>
        <v>0</v>
      </c>
      <c r="S53" s="146">
        <f t="shared" si="59"/>
        <v>0</v>
      </c>
      <c r="T53" s="146">
        <f t="shared" si="59"/>
        <v>0</v>
      </c>
      <c r="U53" s="146">
        <f t="shared" si="59"/>
        <v>0</v>
      </c>
      <c r="V53" s="146">
        <f t="shared" si="59"/>
        <v>0</v>
      </c>
      <c r="W53" s="146">
        <f t="shared" si="59"/>
        <v>0</v>
      </c>
      <c r="X53" s="146">
        <f t="shared" si="59"/>
        <v>0</v>
      </c>
      <c r="Y53" s="146">
        <f t="shared" si="59"/>
        <v>0</v>
      </c>
      <c r="Z53" s="146">
        <f t="shared" si="59"/>
        <v>0</v>
      </c>
      <c r="AA53" s="146">
        <f t="shared" si="59"/>
        <v>0</v>
      </c>
      <c r="AB53" s="146">
        <f t="shared" si="59"/>
        <v>0</v>
      </c>
      <c r="AC53" s="146">
        <f t="shared" si="59"/>
        <v>0</v>
      </c>
    </row>
    <row r="54" spans="1:29" ht="13.2" x14ac:dyDescent="0.25">
      <c r="A54" s="143"/>
      <c r="B54" s="143"/>
      <c r="C54" s="143"/>
      <c r="D54" s="144"/>
      <c r="E54" s="143"/>
      <c r="F54" s="143"/>
      <c r="G54" s="145"/>
      <c r="H54" s="146">
        <f t="shared" ref="H54:AC54" si="60">G54</f>
        <v>0</v>
      </c>
      <c r="I54" s="146">
        <f t="shared" si="60"/>
        <v>0</v>
      </c>
      <c r="J54" s="146">
        <f t="shared" si="60"/>
        <v>0</v>
      </c>
      <c r="K54" s="146">
        <f t="shared" si="60"/>
        <v>0</v>
      </c>
      <c r="L54" s="146">
        <f t="shared" si="60"/>
        <v>0</v>
      </c>
      <c r="M54" s="146">
        <f t="shared" si="60"/>
        <v>0</v>
      </c>
      <c r="N54" s="146">
        <f t="shared" si="60"/>
        <v>0</v>
      </c>
      <c r="O54" s="146">
        <f t="shared" si="60"/>
        <v>0</v>
      </c>
      <c r="P54" s="146">
        <f t="shared" si="60"/>
        <v>0</v>
      </c>
      <c r="Q54" s="146">
        <f t="shared" si="60"/>
        <v>0</v>
      </c>
      <c r="R54" s="146">
        <f t="shared" si="60"/>
        <v>0</v>
      </c>
      <c r="S54" s="146">
        <f t="shared" si="60"/>
        <v>0</v>
      </c>
      <c r="T54" s="146">
        <f t="shared" si="60"/>
        <v>0</v>
      </c>
      <c r="U54" s="146">
        <f t="shared" si="60"/>
        <v>0</v>
      </c>
      <c r="V54" s="146">
        <f t="shared" si="60"/>
        <v>0</v>
      </c>
      <c r="W54" s="146">
        <f t="shared" si="60"/>
        <v>0</v>
      </c>
      <c r="X54" s="146">
        <f t="shared" si="60"/>
        <v>0</v>
      </c>
      <c r="Y54" s="146">
        <f t="shared" si="60"/>
        <v>0</v>
      </c>
      <c r="Z54" s="146">
        <f t="shared" si="60"/>
        <v>0</v>
      </c>
      <c r="AA54" s="146">
        <f t="shared" si="60"/>
        <v>0</v>
      </c>
      <c r="AB54" s="146">
        <f t="shared" si="60"/>
        <v>0</v>
      </c>
      <c r="AC54" s="146">
        <f t="shared" si="60"/>
        <v>0</v>
      </c>
    </row>
    <row r="55" spans="1:29" ht="13.2" x14ac:dyDescent="0.25">
      <c r="A55" s="143"/>
      <c r="B55" s="143"/>
      <c r="C55" s="143"/>
      <c r="D55" s="144"/>
      <c r="E55" s="143"/>
      <c r="F55" s="143"/>
      <c r="G55" s="145"/>
      <c r="H55" s="146">
        <f t="shared" ref="H55:AC55" si="61">G55</f>
        <v>0</v>
      </c>
      <c r="I55" s="146">
        <f t="shared" si="61"/>
        <v>0</v>
      </c>
      <c r="J55" s="146">
        <f t="shared" si="61"/>
        <v>0</v>
      </c>
      <c r="K55" s="146">
        <f t="shared" si="61"/>
        <v>0</v>
      </c>
      <c r="L55" s="146">
        <f t="shared" si="61"/>
        <v>0</v>
      </c>
      <c r="M55" s="146">
        <f t="shared" si="61"/>
        <v>0</v>
      </c>
      <c r="N55" s="146">
        <f t="shared" si="61"/>
        <v>0</v>
      </c>
      <c r="O55" s="146">
        <f t="shared" si="61"/>
        <v>0</v>
      </c>
      <c r="P55" s="146">
        <f t="shared" si="61"/>
        <v>0</v>
      </c>
      <c r="Q55" s="146">
        <f t="shared" si="61"/>
        <v>0</v>
      </c>
      <c r="R55" s="146">
        <f t="shared" si="61"/>
        <v>0</v>
      </c>
      <c r="S55" s="146">
        <f t="shared" si="61"/>
        <v>0</v>
      </c>
      <c r="T55" s="146">
        <f t="shared" si="61"/>
        <v>0</v>
      </c>
      <c r="U55" s="146">
        <f t="shared" si="61"/>
        <v>0</v>
      </c>
      <c r="V55" s="146">
        <f t="shared" si="61"/>
        <v>0</v>
      </c>
      <c r="W55" s="146">
        <f t="shared" si="61"/>
        <v>0</v>
      </c>
      <c r="X55" s="146">
        <f t="shared" si="61"/>
        <v>0</v>
      </c>
      <c r="Y55" s="146">
        <f t="shared" si="61"/>
        <v>0</v>
      </c>
      <c r="Z55" s="146">
        <f t="shared" si="61"/>
        <v>0</v>
      </c>
      <c r="AA55" s="146">
        <f t="shared" si="61"/>
        <v>0</v>
      </c>
      <c r="AB55" s="146">
        <f t="shared" si="61"/>
        <v>0</v>
      </c>
      <c r="AC55" s="146">
        <f t="shared" si="61"/>
        <v>0</v>
      </c>
    </row>
    <row r="56" spans="1:29" ht="13.2" x14ac:dyDescent="0.25">
      <c r="A56" s="143"/>
      <c r="B56" s="143"/>
      <c r="C56" s="143"/>
      <c r="D56" s="144"/>
      <c r="E56" s="143"/>
      <c r="F56" s="143"/>
      <c r="G56" s="145"/>
      <c r="H56" s="146">
        <f t="shared" ref="H56:AC56" si="62">G56</f>
        <v>0</v>
      </c>
      <c r="I56" s="146">
        <f t="shared" si="62"/>
        <v>0</v>
      </c>
      <c r="J56" s="146">
        <f t="shared" si="62"/>
        <v>0</v>
      </c>
      <c r="K56" s="146">
        <f t="shared" si="62"/>
        <v>0</v>
      </c>
      <c r="L56" s="146">
        <f t="shared" si="62"/>
        <v>0</v>
      </c>
      <c r="M56" s="146">
        <f t="shared" si="62"/>
        <v>0</v>
      </c>
      <c r="N56" s="146">
        <f t="shared" si="62"/>
        <v>0</v>
      </c>
      <c r="O56" s="146">
        <f t="shared" si="62"/>
        <v>0</v>
      </c>
      <c r="P56" s="146">
        <f t="shared" si="62"/>
        <v>0</v>
      </c>
      <c r="Q56" s="146">
        <f t="shared" si="62"/>
        <v>0</v>
      </c>
      <c r="R56" s="146">
        <f t="shared" si="62"/>
        <v>0</v>
      </c>
      <c r="S56" s="146">
        <f t="shared" si="62"/>
        <v>0</v>
      </c>
      <c r="T56" s="146">
        <f t="shared" si="62"/>
        <v>0</v>
      </c>
      <c r="U56" s="146">
        <f t="shared" si="62"/>
        <v>0</v>
      </c>
      <c r="V56" s="146">
        <f t="shared" si="62"/>
        <v>0</v>
      </c>
      <c r="W56" s="146">
        <f t="shared" si="62"/>
        <v>0</v>
      </c>
      <c r="X56" s="146">
        <f t="shared" si="62"/>
        <v>0</v>
      </c>
      <c r="Y56" s="146">
        <f t="shared" si="62"/>
        <v>0</v>
      </c>
      <c r="Z56" s="146">
        <f t="shared" si="62"/>
        <v>0</v>
      </c>
      <c r="AA56" s="146">
        <f t="shared" si="62"/>
        <v>0</v>
      </c>
      <c r="AB56" s="146">
        <f t="shared" si="62"/>
        <v>0</v>
      </c>
      <c r="AC56" s="146">
        <f t="shared" si="62"/>
        <v>0</v>
      </c>
    </row>
    <row r="57" spans="1:29" ht="13.2" x14ac:dyDescent="0.25">
      <c r="A57" s="143"/>
      <c r="B57" s="143"/>
      <c r="C57" s="143"/>
      <c r="D57" s="144"/>
      <c r="E57" s="143"/>
      <c r="F57" s="143"/>
      <c r="G57" s="145"/>
      <c r="H57" s="146">
        <f t="shared" ref="H57:AC57" si="63">G57</f>
        <v>0</v>
      </c>
      <c r="I57" s="146">
        <f t="shared" si="63"/>
        <v>0</v>
      </c>
      <c r="J57" s="146">
        <f t="shared" si="63"/>
        <v>0</v>
      </c>
      <c r="K57" s="146">
        <f t="shared" si="63"/>
        <v>0</v>
      </c>
      <c r="L57" s="146">
        <f t="shared" si="63"/>
        <v>0</v>
      </c>
      <c r="M57" s="146">
        <f t="shared" si="63"/>
        <v>0</v>
      </c>
      <c r="N57" s="146">
        <f t="shared" si="63"/>
        <v>0</v>
      </c>
      <c r="O57" s="146">
        <f t="shared" si="63"/>
        <v>0</v>
      </c>
      <c r="P57" s="146">
        <f t="shared" si="63"/>
        <v>0</v>
      </c>
      <c r="Q57" s="146">
        <f t="shared" si="63"/>
        <v>0</v>
      </c>
      <c r="R57" s="146">
        <f t="shared" si="63"/>
        <v>0</v>
      </c>
      <c r="S57" s="146">
        <f t="shared" si="63"/>
        <v>0</v>
      </c>
      <c r="T57" s="146">
        <f t="shared" si="63"/>
        <v>0</v>
      </c>
      <c r="U57" s="146">
        <f t="shared" si="63"/>
        <v>0</v>
      </c>
      <c r="V57" s="146">
        <f t="shared" si="63"/>
        <v>0</v>
      </c>
      <c r="W57" s="146">
        <f t="shared" si="63"/>
        <v>0</v>
      </c>
      <c r="X57" s="146">
        <f t="shared" si="63"/>
        <v>0</v>
      </c>
      <c r="Y57" s="146">
        <f t="shared" si="63"/>
        <v>0</v>
      </c>
      <c r="Z57" s="146">
        <f t="shared" si="63"/>
        <v>0</v>
      </c>
      <c r="AA57" s="146">
        <f t="shared" si="63"/>
        <v>0</v>
      </c>
      <c r="AB57" s="146">
        <f t="shared" si="63"/>
        <v>0</v>
      </c>
      <c r="AC57" s="146">
        <f t="shared" si="63"/>
        <v>0</v>
      </c>
    </row>
    <row r="58" spans="1:29" ht="13.2" x14ac:dyDescent="0.25">
      <c r="A58" s="143"/>
      <c r="B58" s="143"/>
      <c r="C58" s="143"/>
      <c r="D58" s="144"/>
      <c r="E58" s="143"/>
      <c r="F58" s="143"/>
      <c r="G58" s="145"/>
      <c r="H58" s="146">
        <f t="shared" ref="H58:AC58" si="64">G58</f>
        <v>0</v>
      </c>
      <c r="I58" s="146">
        <f t="shared" si="64"/>
        <v>0</v>
      </c>
      <c r="J58" s="146">
        <f t="shared" si="64"/>
        <v>0</v>
      </c>
      <c r="K58" s="146">
        <f t="shared" si="64"/>
        <v>0</v>
      </c>
      <c r="L58" s="146">
        <f t="shared" si="64"/>
        <v>0</v>
      </c>
      <c r="M58" s="146">
        <f t="shared" si="64"/>
        <v>0</v>
      </c>
      <c r="N58" s="146">
        <f t="shared" si="64"/>
        <v>0</v>
      </c>
      <c r="O58" s="146">
        <f t="shared" si="64"/>
        <v>0</v>
      </c>
      <c r="P58" s="146">
        <f t="shared" si="64"/>
        <v>0</v>
      </c>
      <c r="Q58" s="146">
        <f t="shared" si="64"/>
        <v>0</v>
      </c>
      <c r="R58" s="146">
        <f t="shared" si="64"/>
        <v>0</v>
      </c>
      <c r="S58" s="146">
        <f t="shared" si="64"/>
        <v>0</v>
      </c>
      <c r="T58" s="146">
        <f t="shared" si="64"/>
        <v>0</v>
      </c>
      <c r="U58" s="146">
        <f t="shared" si="64"/>
        <v>0</v>
      </c>
      <c r="V58" s="146">
        <f t="shared" si="64"/>
        <v>0</v>
      </c>
      <c r="W58" s="146">
        <f t="shared" si="64"/>
        <v>0</v>
      </c>
      <c r="X58" s="146">
        <f t="shared" si="64"/>
        <v>0</v>
      </c>
      <c r="Y58" s="146">
        <f t="shared" si="64"/>
        <v>0</v>
      </c>
      <c r="Z58" s="146">
        <f t="shared" si="64"/>
        <v>0</v>
      </c>
      <c r="AA58" s="146">
        <f t="shared" si="64"/>
        <v>0</v>
      </c>
      <c r="AB58" s="146">
        <f t="shared" si="64"/>
        <v>0</v>
      </c>
      <c r="AC58" s="146">
        <f t="shared" si="64"/>
        <v>0</v>
      </c>
    </row>
    <row r="59" spans="1:29" ht="13.2" x14ac:dyDescent="0.25">
      <c r="A59" s="143"/>
      <c r="B59" s="143"/>
      <c r="C59" s="143"/>
      <c r="D59" s="144"/>
      <c r="E59" s="143"/>
      <c r="F59" s="143"/>
      <c r="G59" s="145"/>
      <c r="H59" s="146">
        <f t="shared" ref="H59:AC59" si="65">G59</f>
        <v>0</v>
      </c>
      <c r="I59" s="146">
        <f t="shared" si="65"/>
        <v>0</v>
      </c>
      <c r="J59" s="146">
        <f t="shared" si="65"/>
        <v>0</v>
      </c>
      <c r="K59" s="146">
        <f t="shared" si="65"/>
        <v>0</v>
      </c>
      <c r="L59" s="146">
        <f t="shared" si="65"/>
        <v>0</v>
      </c>
      <c r="M59" s="146">
        <f t="shared" si="65"/>
        <v>0</v>
      </c>
      <c r="N59" s="146">
        <f t="shared" si="65"/>
        <v>0</v>
      </c>
      <c r="O59" s="146">
        <f t="shared" si="65"/>
        <v>0</v>
      </c>
      <c r="P59" s="146">
        <f t="shared" si="65"/>
        <v>0</v>
      </c>
      <c r="Q59" s="146">
        <f t="shared" si="65"/>
        <v>0</v>
      </c>
      <c r="R59" s="146">
        <f t="shared" si="65"/>
        <v>0</v>
      </c>
      <c r="S59" s="146">
        <f t="shared" si="65"/>
        <v>0</v>
      </c>
      <c r="T59" s="146">
        <f t="shared" si="65"/>
        <v>0</v>
      </c>
      <c r="U59" s="146">
        <f t="shared" si="65"/>
        <v>0</v>
      </c>
      <c r="V59" s="146">
        <f t="shared" si="65"/>
        <v>0</v>
      </c>
      <c r="W59" s="146">
        <f t="shared" si="65"/>
        <v>0</v>
      </c>
      <c r="X59" s="146">
        <f t="shared" si="65"/>
        <v>0</v>
      </c>
      <c r="Y59" s="146">
        <f t="shared" si="65"/>
        <v>0</v>
      </c>
      <c r="Z59" s="146">
        <f t="shared" si="65"/>
        <v>0</v>
      </c>
      <c r="AA59" s="146">
        <f t="shared" si="65"/>
        <v>0</v>
      </c>
      <c r="AB59" s="146">
        <f t="shared" si="65"/>
        <v>0</v>
      </c>
      <c r="AC59" s="146">
        <f t="shared" si="65"/>
        <v>0</v>
      </c>
    </row>
    <row r="60" spans="1:29" ht="13.2" x14ac:dyDescent="0.25">
      <c r="A60" s="143"/>
      <c r="B60" s="143"/>
      <c r="C60" s="143"/>
      <c r="D60" s="144"/>
      <c r="E60" s="143"/>
      <c r="F60" s="143"/>
      <c r="G60" s="145"/>
      <c r="H60" s="146">
        <f t="shared" ref="H60:AC60" si="66">G60</f>
        <v>0</v>
      </c>
      <c r="I60" s="146">
        <f t="shared" si="66"/>
        <v>0</v>
      </c>
      <c r="J60" s="146">
        <f t="shared" si="66"/>
        <v>0</v>
      </c>
      <c r="K60" s="146">
        <f t="shared" si="66"/>
        <v>0</v>
      </c>
      <c r="L60" s="146">
        <f t="shared" si="66"/>
        <v>0</v>
      </c>
      <c r="M60" s="146">
        <f t="shared" si="66"/>
        <v>0</v>
      </c>
      <c r="N60" s="146">
        <f t="shared" si="66"/>
        <v>0</v>
      </c>
      <c r="O60" s="146">
        <f t="shared" si="66"/>
        <v>0</v>
      </c>
      <c r="P60" s="146">
        <f t="shared" si="66"/>
        <v>0</v>
      </c>
      <c r="Q60" s="146">
        <f t="shared" si="66"/>
        <v>0</v>
      </c>
      <c r="R60" s="146">
        <f t="shared" si="66"/>
        <v>0</v>
      </c>
      <c r="S60" s="146">
        <f t="shared" si="66"/>
        <v>0</v>
      </c>
      <c r="T60" s="146">
        <f t="shared" si="66"/>
        <v>0</v>
      </c>
      <c r="U60" s="146">
        <f t="shared" si="66"/>
        <v>0</v>
      </c>
      <c r="V60" s="146">
        <f t="shared" si="66"/>
        <v>0</v>
      </c>
      <c r="W60" s="146">
        <f t="shared" si="66"/>
        <v>0</v>
      </c>
      <c r="X60" s="146">
        <f t="shared" si="66"/>
        <v>0</v>
      </c>
      <c r="Y60" s="146">
        <f t="shared" si="66"/>
        <v>0</v>
      </c>
      <c r="Z60" s="146">
        <f t="shared" si="66"/>
        <v>0</v>
      </c>
      <c r="AA60" s="146">
        <f t="shared" si="66"/>
        <v>0</v>
      </c>
      <c r="AB60" s="146">
        <f t="shared" si="66"/>
        <v>0</v>
      </c>
      <c r="AC60" s="146">
        <f t="shared" si="66"/>
        <v>0</v>
      </c>
    </row>
    <row r="61" spans="1:29" ht="13.2" x14ac:dyDescent="0.25">
      <c r="A61" s="143"/>
      <c r="B61" s="143"/>
      <c r="C61" s="143"/>
      <c r="D61" s="144"/>
      <c r="E61" s="143"/>
      <c r="F61" s="143"/>
      <c r="G61" s="145"/>
      <c r="H61" s="146">
        <f t="shared" ref="H61:AC61" si="67">G61</f>
        <v>0</v>
      </c>
      <c r="I61" s="146">
        <f t="shared" si="67"/>
        <v>0</v>
      </c>
      <c r="J61" s="146">
        <f t="shared" si="67"/>
        <v>0</v>
      </c>
      <c r="K61" s="146">
        <f t="shared" si="67"/>
        <v>0</v>
      </c>
      <c r="L61" s="146">
        <f t="shared" si="67"/>
        <v>0</v>
      </c>
      <c r="M61" s="146">
        <f t="shared" si="67"/>
        <v>0</v>
      </c>
      <c r="N61" s="146">
        <f t="shared" si="67"/>
        <v>0</v>
      </c>
      <c r="O61" s="146">
        <f t="shared" si="67"/>
        <v>0</v>
      </c>
      <c r="P61" s="146">
        <f t="shared" si="67"/>
        <v>0</v>
      </c>
      <c r="Q61" s="146">
        <f t="shared" si="67"/>
        <v>0</v>
      </c>
      <c r="R61" s="146">
        <f t="shared" si="67"/>
        <v>0</v>
      </c>
      <c r="S61" s="146">
        <f t="shared" si="67"/>
        <v>0</v>
      </c>
      <c r="T61" s="146">
        <f t="shared" si="67"/>
        <v>0</v>
      </c>
      <c r="U61" s="146">
        <f t="shared" si="67"/>
        <v>0</v>
      </c>
      <c r="V61" s="146">
        <f t="shared" si="67"/>
        <v>0</v>
      </c>
      <c r="W61" s="146">
        <f t="shared" si="67"/>
        <v>0</v>
      </c>
      <c r="X61" s="146">
        <f t="shared" si="67"/>
        <v>0</v>
      </c>
      <c r="Y61" s="146">
        <f t="shared" si="67"/>
        <v>0</v>
      </c>
      <c r="Z61" s="146">
        <f t="shared" si="67"/>
        <v>0</v>
      </c>
      <c r="AA61" s="146">
        <f t="shared" si="67"/>
        <v>0</v>
      </c>
      <c r="AB61" s="146">
        <f t="shared" si="67"/>
        <v>0</v>
      </c>
      <c r="AC61" s="146">
        <f t="shared" si="67"/>
        <v>0</v>
      </c>
    </row>
    <row r="62" spans="1:29" ht="13.2" x14ac:dyDescent="0.25">
      <c r="A62" s="143"/>
      <c r="B62" s="143"/>
      <c r="C62" s="143"/>
      <c r="D62" s="144"/>
      <c r="E62" s="143"/>
      <c r="F62" s="143"/>
      <c r="G62" s="145"/>
      <c r="H62" s="146">
        <f t="shared" ref="H62:AC62" si="68">G62</f>
        <v>0</v>
      </c>
      <c r="I62" s="146">
        <f t="shared" si="68"/>
        <v>0</v>
      </c>
      <c r="J62" s="146">
        <f t="shared" si="68"/>
        <v>0</v>
      </c>
      <c r="K62" s="146">
        <f t="shared" si="68"/>
        <v>0</v>
      </c>
      <c r="L62" s="146">
        <f t="shared" si="68"/>
        <v>0</v>
      </c>
      <c r="M62" s="146">
        <f t="shared" si="68"/>
        <v>0</v>
      </c>
      <c r="N62" s="146">
        <f t="shared" si="68"/>
        <v>0</v>
      </c>
      <c r="O62" s="146">
        <f t="shared" si="68"/>
        <v>0</v>
      </c>
      <c r="P62" s="146">
        <f t="shared" si="68"/>
        <v>0</v>
      </c>
      <c r="Q62" s="146">
        <f t="shared" si="68"/>
        <v>0</v>
      </c>
      <c r="R62" s="146">
        <f t="shared" si="68"/>
        <v>0</v>
      </c>
      <c r="S62" s="146">
        <f t="shared" si="68"/>
        <v>0</v>
      </c>
      <c r="T62" s="146">
        <f t="shared" si="68"/>
        <v>0</v>
      </c>
      <c r="U62" s="146">
        <f t="shared" si="68"/>
        <v>0</v>
      </c>
      <c r="V62" s="146">
        <f t="shared" si="68"/>
        <v>0</v>
      </c>
      <c r="W62" s="146">
        <f t="shared" si="68"/>
        <v>0</v>
      </c>
      <c r="X62" s="146">
        <f t="shared" si="68"/>
        <v>0</v>
      </c>
      <c r="Y62" s="146">
        <f t="shared" si="68"/>
        <v>0</v>
      </c>
      <c r="Z62" s="146">
        <f t="shared" si="68"/>
        <v>0</v>
      </c>
      <c r="AA62" s="146">
        <f t="shared" si="68"/>
        <v>0</v>
      </c>
      <c r="AB62" s="146">
        <f t="shared" si="68"/>
        <v>0</v>
      </c>
      <c r="AC62" s="146">
        <f t="shared" si="68"/>
        <v>0</v>
      </c>
    </row>
    <row r="63" spans="1:29" ht="13.2" x14ac:dyDescent="0.25">
      <c r="A63" s="143"/>
      <c r="B63" s="143"/>
      <c r="C63" s="143"/>
      <c r="D63" s="144"/>
      <c r="E63" s="143"/>
      <c r="F63" s="143"/>
      <c r="G63" s="145"/>
      <c r="H63" s="146">
        <f t="shared" ref="H63:AC63" si="69">G63</f>
        <v>0</v>
      </c>
      <c r="I63" s="146">
        <f t="shared" si="69"/>
        <v>0</v>
      </c>
      <c r="J63" s="146">
        <f t="shared" si="69"/>
        <v>0</v>
      </c>
      <c r="K63" s="146">
        <f t="shared" si="69"/>
        <v>0</v>
      </c>
      <c r="L63" s="146">
        <f t="shared" si="69"/>
        <v>0</v>
      </c>
      <c r="M63" s="146">
        <f t="shared" si="69"/>
        <v>0</v>
      </c>
      <c r="N63" s="146">
        <f t="shared" si="69"/>
        <v>0</v>
      </c>
      <c r="O63" s="146">
        <f t="shared" si="69"/>
        <v>0</v>
      </c>
      <c r="P63" s="146">
        <f t="shared" si="69"/>
        <v>0</v>
      </c>
      <c r="Q63" s="146">
        <f t="shared" si="69"/>
        <v>0</v>
      </c>
      <c r="R63" s="146">
        <f t="shared" si="69"/>
        <v>0</v>
      </c>
      <c r="S63" s="146">
        <f t="shared" si="69"/>
        <v>0</v>
      </c>
      <c r="T63" s="146">
        <f t="shared" si="69"/>
        <v>0</v>
      </c>
      <c r="U63" s="146">
        <f t="shared" si="69"/>
        <v>0</v>
      </c>
      <c r="V63" s="146">
        <f t="shared" si="69"/>
        <v>0</v>
      </c>
      <c r="W63" s="146">
        <f t="shared" si="69"/>
        <v>0</v>
      </c>
      <c r="X63" s="146">
        <f t="shared" si="69"/>
        <v>0</v>
      </c>
      <c r="Y63" s="146">
        <f t="shared" si="69"/>
        <v>0</v>
      </c>
      <c r="Z63" s="146">
        <f t="shared" si="69"/>
        <v>0</v>
      </c>
      <c r="AA63" s="146">
        <f t="shared" si="69"/>
        <v>0</v>
      </c>
      <c r="AB63" s="146">
        <f t="shared" si="69"/>
        <v>0</v>
      </c>
      <c r="AC63" s="146">
        <f t="shared" si="69"/>
        <v>0</v>
      </c>
    </row>
    <row r="64" spans="1:29" ht="13.2" x14ac:dyDescent="0.25">
      <c r="A64" s="143"/>
      <c r="B64" s="143"/>
      <c r="C64" s="143"/>
      <c r="D64" s="144"/>
      <c r="E64" s="143"/>
      <c r="F64" s="143"/>
      <c r="G64" s="145"/>
      <c r="H64" s="146">
        <f t="shared" ref="H64:AC64" si="70">G64</f>
        <v>0</v>
      </c>
      <c r="I64" s="146">
        <f t="shared" si="70"/>
        <v>0</v>
      </c>
      <c r="J64" s="146">
        <f t="shared" si="70"/>
        <v>0</v>
      </c>
      <c r="K64" s="146">
        <f t="shared" si="70"/>
        <v>0</v>
      </c>
      <c r="L64" s="146">
        <f t="shared" si="70"/>
        <v>0</v>
      </c>
      <c r="M64" s="146">
        <f t="shared" si="70"/>
        <v>0</v>
      </c>
      <c r="N64" s="146">
        <f t="shared" si="70"/>
        <v>0</v>
      </c>
      <c r="O64" s="146">
        <f t="shared" si="70"/>
        <v>0</v>
      </c>
      <c r="P64" s="146">
        <f t="shared" si="70"/>
        <v>0</v>
      </c>
      <c r="Q64" s="146">
        <f t="shared" si="70"/>
        <v>0</v>
      </c>
      <c r="R64" s="146">
        <f t="shared" si="70"/>
        <v>0</v>
      </c>
      <c r="S64" s="146">
        <f t="shared" si="70"/>
        <v>0</v>
      </c>
      <c r="T64" s="146">
        <f t="shared" si="70"/>
        <v>0</v>
      </c>
      <c r="U64" s="146">
        <f t="shared" si="70"/>
        <v>0</v>
      </c>
      <c r="V64" s="146">
        <f t="shared" si="70"/>
        <v>0</v>
      </c>
      <c r="W64" s="146">
        <f t="shared" si="70"/>
        <v>0</v>
      </c>
      <c r="X64" s="146">
        <f t="shared" si="70"/>
        <v>0</v>
      </c>
      <c r="Y64" s="146">
        <f t="shared" si="70"/>
        <v>0</v>
      </c>
      <c r="Z64" s="146">
        <f t="shared" si="70"/>
        <v>0</v>
      </c>
      <c r="AA64" s="146">
        <f t="shared" si="70"/>
        <v>0</v>
      </c>
      <c r="AB64" s="146">
        <f t="shared" si="70"/>
        <v>0</v>
      </c>
      <c r="AC64" s="146">
        <f t="shared" si="70"/>
        <v>0</v>
      </c>
    </row>
    <row r="65" spans="1:29" ht="13.2" x14ac:dyDescent="0.25">
      <c r="A65" s="143"/>
      <c r="B65" s="143"/>
      <c r="C65" s="143"/>
      <c r="D65" s="144"/>
      <c r="E65" s="143"/>
      <c r="F65" s="143"/>
      <c r="G65" s="145"/>
      <c r="H65" s="146">
        <f t="shared" ref="H65:AC65" si="71">G65</f>
        <v>0</v>
      </c>
      <c r="I65" s="146">
        <f t="shared" si="71"/>
        <v>0</v>
      </c>
      <c r="J65" s="146">
        <f t="shared" si="71"/>
        <v>0</v>
      </c>
      <c r="K65" s="146">
        <f t="shared" si="71"/>
        <v>0</v>
      </c>
      <c r="L65" s="146">
        <f t="shared" si="71"/>
        <v>0</v>
      </c>
      <c r="M65" s="146">
        <f t="shared" si="71"/>
        <v>0</v>
      </c>
      <c r="N65" s="146">
        <f t="shared" si="71"/>
        <v>0</v>
      </c>
      <c r="O65" s="146">
        <f t="shared" si="71"/>
        <v>0</v>
      </c>
      <c r="P65" s="146">
        <f t="shared" si="71"/>
        <v>0</v>
      </c>
      <c r="Q65" s="146">
        <f t="shared" si="71"/>
        <v>0</v>
      </c>
      <c r="R65" s="146">
        <f t="shared" si="71"/>
        <v>0</v>
      </c>
      <c r="S65" s="146">
        <f t="shared" si="71"/>
        <v>0</v>
      </c>
      <c r="T65" s="146">
        <f t="shared" si="71"/>
        <v>0</v>
      </c>
      <c r="U65" s="146">
        <f t="shared" si="71"/>
        <v>0</v>
      </c>
      <c r="V65" s="146">
        <f t="shared" si="71"/>
        <v>0</v>
      </c>
      <c r="W65" s="146">
        <f t="shared" si="71"/>
        <v>0</v>
      </c>
      <c r="X65" s="146">
        <f t="shared" si="71"/>
        <v>0</v>
      </c>
      <c r="Y65" s="146">
        <f t="shared" si="71"/>
        <v>0</v>
      </c>
      <c r="Z65" s="146">
        <f t="shared" si="71"/>
        <v>0</v>
      </c>
      <c r="AA65" s="146">
        <f t="shared" si="71"/>
        <v>0</v>
      </c>
      <c r="AB65" s="146">
        <f t="shared" si="71"/>
        <v>0</v>
      </c>
      <c r="AC65" s="146">
        <f t="shared" si="71"/>
        <v>0</v>
      </c>
    </row>
    <row r="66" spans="1:29" ht="13.2" x14ac:dyDescent="0.25">
      <c r="A66" s="143"/>
      <c r="B66" s="143"/>
      <c r="C66" s="143"/>
      <c r="D66" s="144"/>
      <c r="E66" s="143"/>
      <c r="F66" s="143"/>
      <c r="G66" s="145"/>
      <c r="H66" s="146">
        <f t="shared" ref="H66:AC66" si="72">G66</f>
        <v>0</v>
      </c>
      <c r="I66" s="146">
        <f t="shared" si="72"/>
        <v>0</v>
      </c>
      <c r="J66" s="146">
        <f t="shared" si="72"/>
        <v>0</v>
      </c>
      <c r="K66" s="146">
        <f t="shared" si="72"/>
        <v>0</v>
      </c>
      <c r="L66" s="146">
        <f t="shared" si="72"/>
        <v>0</v>
      </c>
      <c r="M66" s="146">
        <f t="shared" si="72"/>
        <v>0</v>
      </c>
      <c r="N66" s="146">
        <f t="shared" si="72"/>
        <v>0</v>
      </c>
      <c r="O66" s="146">
        <f t="shared" si="72"/>
        <v>0</v>
      </c>
      <c r="P66" s="146">
        <f t="shared" si="72"/>
        <v>0</v>
      </c>
      <c r="Q66" s="146">
        <f t="shared" si="72"/>
        <v>0</v>
      </c>
      <c r="R66" s="146">
        <f t="shared" si="72"/>
        <v>0</v>
      </c>
      <c r="S66" s="146">
        <f t="shared" si="72"/>
        <v>0</v>
      </c>
      <c r="T66" s="146">
        <f t="shared" si="72"/>
        <v>0</v>
      </c>
      <c r="U66" s="146">
        <f t="shared" si="72"/>
        <v>0</v>
      </c>
      <c r="V66" s="146">
        <f t="shared" si="72"/>
        <v>0</v>
      </c>
      <c r="W66" s="146">
        <f t="shared" si="72"/>
        <v>0</v>
      </c>
      <c r="X66" s="146">
        <f t="shared" si="72"/>
        <v>0</v>
      </c>
      <c r="Y66" s="146">
        <f t="shared" si="72"/>
        <v>0</v>
      </c>
      <c r="Z66" s="146">
        <f t="shared" si="72"/>
        <v>0</v>
      </c>
      <c r="AA66" s="146">
        <f t="shared" si="72"/>
        <v>0</v>
      </c>
      <c r="AB66" s="146">
        <f t="shared" si="72"/>
        <v>0</v>
      </c>
      <c r="AC66" s="146">
        <f t="shared" si="72"/>
        <v>0</v>
      </c>
    </row>
    <row r="67" spans="1:29" ht="13.2" x14ac:dyDescent="0.25">
      <c r="A67" s="143"/>
      <c r="B67" s="143"/>
      <c r="C67" s="143"/>
      <c r="D67" s="144"/>
      <c r="E67" s="143"/>
      <c r="F67" s="143"/>
      <c r="G67" s="145"/>
      <c r="H67" s="146">
        <f t="shared" ref="H67:AC67" si="73">G67</f>
        <v>0</v>
      </c>
      <c r="I67" s="146">
        <f t="shared" si="73"/>
        <v>0</v>
      </c>
      <c r="J67" s="146">
        <f t="shared" si="73"/>
        <v>0</v>
      </c>
      <c r="K67" s="146">
        <f t="shared" si="73"/>
        <v>0</v>
      </c>
      <c r="L67" s="146">
        <f t="shared" si="73"/>
        <v>0</v>
      </c>
      <c r="M67" s="146">
        <f t="shared" si="73"/>
        <v>0</v>
      </c>
      <c r="N67" s="146">
        <f t="shared" si="73"/>
        <v>0</v>
      </c>
      <c r="O67" s="146">
        <f t="shared" si="73"/>
        <v>0</v>
      </c>
      <c r="P67" s="146">
        <f t="shared" si="73"/>
        <v>0</v>
      </c>
      <c r="Q67" s="146">
        <f t="shared" si="73"/>
        <v>0</v>
      </c>
      <c r="R67" s="146">
        <f t="shared" si="73"/>
        <v>0</v>
      </c>
      <c r="S67" s="146">
        <f t="shared" si="73"/>
        <v>0</v>
      </c>
      <c r="T67" s="146">
        <f t="shared" si="73"/>
        <v>0</v>
      </c>
      <c r="U67" s="146">
        <f t="shared" si="73"/>
        <v>0</v>
      </c>
      <c r="V67" s="146">
        <f t="shared" si="73"/>
        <v>0</v>
      </c>
      <c r="W67" s="146">
        <f t="shared" si="73"/>
        <v>0</v>
      </c>
      <c r="X67" s="146">
        <f t="shared" si="73"/>
        <v>0</v>
      </c>
      <c r="Y67" s="146">
        <f t="shared" si="73"/>
        <v>0</v>
      </c>
      <c r="Z67" s="146">
        <f t="shared" si="73"/>
        <v>0</v>
      </c>
      <c r="AA67" s="146">
        <f t="shared" si="73"/>
        <v>0</v>
      </c>
      <c r="AB67" s="146">
        <f t="shared" si="73"/>
        <v>0</v>
      </c>
      <c r="AC67" s="146">
        <f t="shared" si="73"/>
        <v>0</v>
      </c>
    </row>
    <row r="68" spans="1:29" ht="13.2" x14ac:dyDescent="0.25">
      <c r="A68" s="143"/>
      <c r="B68" s="143"/>
      <c r="C68" s="143"/>
      <c r="D68" s="144"/>
      <c r="E68" s="143"/>
      <c r="F68" s="143"/>
      <c r="G68" s="145"/>
      <c r="H68" s="146">
        <f t="shared" ref="H68:AC68" si="74">G68</f>
        <v>0</v>
      </c>
      <c r="I68" s="146">
        <f t="shared" si="74"/>
        <v>0</v>
      </c>
      <c r="J68" s="146">
        <f t="shared" si="74"/>
        <v>0</v>
      </c>
      <c r="K68" s="146">
        <f t="shared" si="74"/>
        <v>0</v>
      </c>
      <c r="L68" s="146">
        <f t="shared" si="74"/>
        <v>0</v>
      </c>
      <c r="M68" s="146">
        <f t="shared" si="74"/>
        <v>0</v>
      </c>
      <c r="N68" s="146">
        <f t="shared" si="74"/>
        <v>0</v>
      </c>
      <c r="O68" s="146">
        <f t="shared" si="74"/>
        <v>0</v>
      </c>
      <c r="P68" s="146">
        <f t="shared" si="74"/>
        <v>0</v>
      </c>
      <c r="Q68" s="146">
        <f t="shared" si="74"/>
        <v>0</v>
      </c>
      <c r="R68" s="146">
        <f t="shared" si="74"/>
        <v>0</v>
      </c>
      <c r="S68" s="146">
        <f t="shared" si="74"/>
        <v>0</v>
      </c>
      <c r="T68" s="146">
        <f t="shared" si="74"/>
        <v>0</v>
      </c>
      <c r="U68" s="146">
        <f t="shared" si="74"/>
        <v>0</v>
      </c>
      <c r="V68" s="146">
        <f t="shared" si="74"/>
        <v>0</v>
      </c>
      <c r="W68" s="146">
        <f t="shared" si="74"/>
        <v>0</v>
      </c>
      <c r="X68" s="146">
        <f t="shared" si="74"/>
        <v>0</v>
      </c>
      <c r="Y68" s="146">
        <f t="shared" si="74"/>
        <v>0</v>
      </c>
      <c r="Z68" s="146">
        <f t="shared" si="74"/>
        <v>0</v>
      </c>
      <c r="AA68" s="146">
        <f t="shared" si="74"/>
        <v>0</v>
      </c>
      <c r="AB68" s="146">
        <f t="shared" si="74"/>
        <v>0</v>
      </c>
      <c r="AC68" s="146">
        <f t="shared" si="74"/>
        <v>0</v>
      </c>
    </row>
    <row r="69" spans="1:29" ht="13.2" x14ac:dyDescent="0.25">
      <c r="A69" s="143"/>
      <c r="B69" s="143"/>
      <c r="C69" s="143"/>
      <c r="D69" s="144"/>
      <c r="E69" s="143"/>
      <c r="F69" s="143"/>
      <c r="G69" s="145"/>
      <c r="H69" s="146">
        <f t="shared" ref="H69:AC69" si="75">G69</f>
        <v>0</v>
      </c>
      <c r="I69" s="146">
        <f t="shared" si="75"/>
        <v>0</v>
      </c>
      <c r="J69" s="146">
        <f t="shared" si="75"/>
        <v>0</v>
      </c>
      <c r="K69" s="146">
        <f t="shared" si="75"/>
        <v>0</v>
      </c>
      <c r="L69" s="146">
        <f t="shared" si="75"/>
        <v>0</v>
      </c>
      <c r="M69" s="146">
        <f t="shared" si="75"/>
        <v>0</v>
      </c>
      <c r="N69" s="146">
        <f t="shared" si="75"/>
        <v>0</v>
      </c>
      <c r="O69" s="146">
        <f t="shared" si="75"/>
        <v>0</v>
      </c>
      <c r="P69" s="146">
        <f t="shared" si="75"/>
        <v>0</v>
      </c>
      <c r="Q69" s="146">
        <f t="shared" si="75"/>
        <v>0</v>
      </c>
      <c r="R69" s="146">
        <f t="shared" si="75"/>
        <v>0</v>
      </c>
      <c r="S69" s="146">
        <f t="shared" si="75"/>
        <v>0</v>
      </c>
      <c r="T69" s="146">
        <f t="shared" si="75"/>
        <v>0</v>
      </c>
      <c r="U69" s="146">
        <f t="shared" si="75"/>
        <v>0</v>
      </c>
      <c r="V69" s="146">
        <f t="shared" si="75"/>
        <v>0</v>
      </c>
      <c r="W69" s="146">
        <f t="shared" si="75"/>
        <v>0</v>
      </c>
      <c r="X69" s="146">
        <f t="shared" si="75"/>
        <v>0</v>
      </c>
      <c r="Y69" s="146">
        <f t="shared" si="75"/>
        <v>0</v>
      </c>
      <c r="Z69" s="146">
        <f t="shared" si="75"/>
        <v>0</v>
      </c>
      <c r="AA69" s="146">
        <f t="shared" si="75"/>
        <v>0</v>
      </c>
      <c r="AB69" s="146">
        <f t="shared" si="75"/>
        <v>0</v>
      </c>
      <c r="AC69" s="146">
        <f t="shared" si="75"/>
        <v>0</v>
      </c>
    </row>
    <row r="70" spans="1:29" ht="13.2" x14ac:dyDescent="0.25">
      <c r="A70" s="143"/>
      <c r="B70" s="143"/>
      <c r="C70" s="143"/>
      <c r="D70" s="144"/>
      <c r="E70" s="143"/>
      <c r="F70" s="143"/>
      <c r="G70" s="145"/>
      <c r="H70" s="146">
        <f t="shared" ref="H70:AC70" si="76">G70</f>
        <v>0</v>
      </c>
      <c r="I70" s="146">
        <f t="shared" si="76"/>
        <v>0</v>
      </c>
      <c r="J70" s="146">
        <f t="shared" si="76"/>
        <v>0</v>
      </c>
      <c r="K70" s="146">
        <f t="shared" si="76"/>
        <v>0</v>
      </c>
      <c r="L70" s="146">
        <f t="shared" si="76"/>
        <v>0</v>
      </c>
      <c r="M70" s="146">
        <f t="shared" si="76"/>
        <v>0</v>
      </c>
      <c r="N70" s="146">
        <f t="shared" si="76"/>
        <v>0</v>
      </c>
      <c r="O70" s="146">
        <f t="shared" si="76"/>
        <v>0</v>
      </c>
      <c r="P70" s="146">
        <f t="shared" si="76"/>
        <v>0</v>
      </c>
      <c r="Q70" s="146">
        <f t="shared" si="76"/>
        <v>0</v>
      </c>
      <c r="R70" s="146">
        <f t="shared" si="76"/>
        <v>0</v>
      </c>
      <c r="S70" s="146">
        <f t="shared" si="76"/>
        <v>0</v>
      </c>
      <c r="T70" s="146">
        <f t="shared" si="76"/>
        <v>0</v>
      </c>
      <c r="U70" s="146">
        <f t="shared" si="76"/>
        <v>0</v>
      </c>
      <c r="V70" s="146">
        <f t="shared" si="76"/>
        <v>0</v>
      </c>
      <c r="W70" s="146">
        <f t="shared" si="76"/>
        <v>0</v>
      </c>
      <c r="X70" s="146">
        <f t="shared" si="76"/>
        <v>0</v>
      </c>
      <c r="Y70" s="146">
        <f t="shared" si="76"/>
        <v>0</v>
      </c>
      <c r="Z70" s="146">
        <f t="shared" si="76"/>
        <v>0</v>
      </c>
      <c r="AA70" s="146">
        <f t="shared" si="76"/>
        <v>0</v>
      </c>
      <c r="AB70" s="146">
        <f t="shared" si="76"/>
        <v>0</v>
      </c>
      <c r="AC70" s="146">
        <f t="shared" si="76"/>
        <v>0</v>
      </c>
    </row>
    <row r="71" spans="1:29" ht="13.2" x14ac:dyDescent="0.25">
      <c r="A71" s="143"/>
      <c r="B71" s="143"/>
      <c r="C71" s="143"/>
      <c r="D71" s="144"/>
      <c r="E71" s="143"/>
      <c r="F71" s="143"/>
      <c r="G71" s="145"/>
      <c r="H71" s="146">
        <f t="shared" ref="H71:AC71" si="77">G71</f>
        <v>0</v>
      </c>
      <c r="I71" s="146">
        <f t="shared" si="77"/>
        <v>0</v>
      </c>
      <c r="J71" s="146">
        <f t="shared" si="77"/>
        <v>0</v>
      </c>
      <c r="K71" s="146">
        <f t="shared" si="77"/>
        <v>0</v>
      </c>
      <c r="L71" s="146">
        <f t="shared" si="77"/>
        <v>0</v>
      </c>
      <c r="M71" s="146">
        <f t="shared" si="77"/>
        <v>0</v>
      </c>
      <c r="N71" s="146">
        <f t="shared" si="77"/>
        <v>0</v>
      </c>
      <c r="O71" s="146">
        <f t="shared" si="77"/>
        <v>0</v>
      </c>
      <c r="P71" s="146">
        <f t="shared" si="77"/>
        <v>0</v>
      </c>
      <c r="Q71" s="146">
        <f t="shared" si="77"/>
        <v>0</v>
      </c>
      <c r="R71" s="146">
        <f t="shared" si="77"/>
        <v>0</v>
      </c>
      <c r="S71" s="146">
        <f t="shared" si="77"/>
        <v>0</v>
      </c>
      <c r="T71" s="146">
        <f t="shared" si="77"/>
        <v>0</v>
      </c>
      <c r="U71" s="146">
        <f t="shared" si="77"/>
        <v>0</v>
      </c>
      <c r="V71" s="146">
        <f t="shared" si="77"/>
        <v>0</v>
      </c>
      <c r="W71" s="146">
        <f t="shared" si="77"/>
        <v>0</v>
      </c>
      <c r="X71" s="146">
        <f t="shared" si="77"/>
        <v>0</v>
      </c>
      <c r="Y71" s="146">
        <f t="shared" si="77"/>
        <v>0</v>
      </c>
      <c r="Z71" s="146">
        <f t="shared" si="77"/>
        <v>0</v>
      </c>
      <c r="AA71" s="146">
        <f t="shared" si="77"/>
        <v>0</v>
      </c>
      <c r="AB71" s="146">
        <f t="shared" si="77"/>
        <v>0</v>
      </c>
      <c r="AC71" s="146">
        <f t="shared" si="77"/>
        <v>0</v>
      </c>
    </row>
    <row r="72" spans="1:29" ht="13.2" x14ac:dyDescent="0.25">
      <c r="A72" s="143"/>
      <c r="B72" s="143"/>
      <c r="C72" s="143"/>
      <c r="D72" s="144"/>
      <c r="E72" s="143"/>
      <c r="F72" s="143"/>
      <c r="G72" s="145"/>
      <c r="H72" s="146">
        <f t="shared" ref="H72:AC72" si="78">G72</f>
        <v>0</v>
      </c>
      <c r="I72" s="146">
        <f t="shared" si="78"/>
        <v>0</v>
      </c>
      <c r="J72" s="146">
        <f t="shared" si="78"/>
        <v>0</v>
      </c>
      <c r="K72" s="146">
        <f t="shared" si="78"/>
        <v>0</v>
      </c>
      <c r="L72" s="146">
        <f t="shared" si="78"/>
        <v>0</v>
      </c>
      <c r="M72" s="146">
        <f t="shared" si="78"/>
        <v>0</v>
      </c>
      <c r="N72" s="146">
        <f t="shared" si="78"/>
        <v>0</v>
      </c>
      <c r="O72" s="146">
        <f t="shared" si="78"/>
        <v>0</v>
      </c>
      <c r="P72" s="146">
        <f t="shared" si="78"/>
        <v>0</v>
      </c>
      <c r="Q72" s="146">
        <f t="shared" si="78"/>
        <v>0</v>
      </c>
      <c r="R72" s="146">
        <f t="shared" si="78"/>
        <v>0</v>
      </c>
      <c r="S72" s="146">
        <f t="shared" si="78"/>
        <v>0</v>
      </c>
      <c r="T72" s="146">
        <f t="shared" si="78"/>
        <v>0</v>
      </c>
      <c r="U72" s="146">
        <f t="shared" si="78"/>
        <v>0</v>
      </c>
      <c r="V72" s="146">
        <f t="shared" si="78"/>
        <v>0</v>
      </c>
      <c r="W72" s="146">
        <f t="shared" si="78"/>
        <v>0</v>
      </c>
      <c r="X72" s="146">
        <f t="shared" si="78"/>
        <v>0</v>
      </c>
      <c r="Y72" s="146">
        <f t="shared" si="78"/>
        <v>0</v>
      </c>
      <c r="Z72" s="146">
        <f t="shared" si="78"/>
        <v>0</v>
      </c>
      <c r="AA72" s="146">
        <f t="shared" si="78"/>
        <v>0</v>
      </c>
      <c r="AB72" s="146">
        <f t="shared" si="78"/>
        <v>0</v>
      </c>
      <c r="AC72" s="146">
        <f t="shared" si="78"/>
        <v>0</v>
      </c>
    </row>
    <row r="73" spans="1:29" ht="13.2" x14ac:dyDescent="0.25">
      <c r="A73" s="143"/>
      <c r="B73" s="143"/>
      <c r="C73" s="143"/>
      <c r="D73" s="144"/>
      <c r="E73" s="143"/>
      <c r="F73" s="143"/>
      <c r="G73" s="145"/>
      <c r="H73" s="146">
        <f t="shared" ref="H73:AC73" si="79">G73</f>
        <v>0</v>
      </c>
      <c r="I73" s="146">
        <f t="shared" si="79"/>
        <v>0</v>
      </c>
      <c r="J73" s="146">
        <f t="shared" si="79"/>
        <v>0</v>
      </c>
      <c r="K73" s="146">
        <f t="shared" si="79"/>
        <v>0</v>
      </c>
      <c r="L73" s="146">
        <f t="shared" si="79"/>
        <v>0</v>
      </c>
      <c r="M73" s="146">
        <f t="shared" si="79"/>
        <v>0</v>
      </c>
      <c r="N73" s="146">
        <f t="shared" si="79"/>
        <v>0</v>
      </c>
      <c r="O73" s="146">
        <f t="shared" si="79"/>
        <v>0</v>
      </c>
      <c r="P73" s="146">
        <f t="shared" si="79"/>
        <v>0</v>
      </c>
      <c r="Q73" s="146">
        <f t="shared" si="79"/>
        <v>0</v>
      </c>
      <c r="R73" s="146">
        <f t="shared" si="79"/>
        <v>0</v>
      </c>
      <c r="S73" s="146">
        <f t="shared" si="79"/>
        <v>0</v>
      </c>
      <c r="T73" s="146">
        <f t="shared" si="79"/>
        <v>0</v>
      </c>
      <c r="U73" s="146">
        <f t="shared" si="79"/>
        <v>0</v>
      </c>
      <c r="V73" s="146">
        <f t="shared" si="79"/>
        <v>0</v>
      </c>
      <c r="W73" s="146">
        <f t="shared" si="79"/>
        <v>0</v>
      </c>
      <c r="X73" s="146">
        <f t="shared" si="79"/>
        <v>0</v>
      </c>
      <c r="Y73" s="146">
        <f t="shared" si="79"/>
        <v>0</v>
      </c>
      <c r="Z73" s="146">
        <f t="shared" si="79"/>
        <v>0</v>
      </c>
      <c r="AA73" s="146">
        <f t="shared" si="79"/>
        <v>0</v>
      </c>
      <c r="AB73" s="146">
        <f t="shared" si="79"/>
        <v>0</v>
      </c>
      <c r="AC73" s="146">
        <f t="shared" si="79"/>
        <v>0</v>
      </c>
    </row>
    <row r="74" spans="1:29" ht="13.2" x14ac:dyDescent="0.25">
      <c r="A74" s="143"/>
      <c r="B74" s="143"/>
      <c r="C74" s="143"/>
      <c r="D74" s="144"/>
      <c r="E74" s="143"/>
      <c r="F74" s="143"/>
      <c r="G74" s="145"/>
      <c r="H74" s="146">
        <f t="shared" ref="H74:AC74" si="80">G74</f>
        <v>0</v>
      </c>
      <c r="I74" s="146">
        <f t="shared" si="80"/>
        <v>0</v>
      </c>
      <c r="J74" s="146">
        <f t="shared" si="80"/>
        <v>0</v>
      </c>
      <c r="K74" s="146">
        <f t="shared" si="80"/>
        <v>0</v>
      </c>
      <c r="L74" s="146">
        <f t="shared" si="80"/>
        <v>0</v>
      </c>
      <c r="M74" s="146">
        <f t="shared" si="80"/>
        <v>0</v>
      </c>
      <c r="N74" s="146">
        <f t="shared" si="80"/>
        <v>0</v>
      </c>
      <c r="O74" s="146">
        <f t="shared" si="80"/>
        <v>0</v>
      </c>
      <c r="P74" s="146">
        <f t="shared" si="80"/>
        <v>0</v>
      </c>
      <c r="Q74" s="146">
        <f t="shared" si="80"/>
        <v>0</v>
      </c>
      <c r="R74" s="146">
        <f t="shared" si="80"/>
        <v>0</v>
      </c>
      <c r="S74" s="146">
        <f t="shared" si="80"/>
        <v>0</v>
      </c>
      <c r="T74" s="146">
        <f t="shared" si="80"/>
        <v>0</v>
      </c>
      <c r="U74" s="146">
        <f t="shared" si="80"/>
        <v>0</v>
      </c>
      <c r="V74" s="146">
        <f t="shared" si="80"/>
        <v>0</v>
      </c>
      <c r="W74" s="146">
        <f t="shared" si="80"/>
        <v>0</v>
      </c>
      <c r="X74" s="146">
        <f t="shared" si="80"/>
        <v>0</v>
      </c>
      <c r="Y74" s="146">
        <f t="shared" si="80"/>
        <v>0</v>
      </c>
      <c r="Z74" s="146">
        <f t="shared" si="80"/>
        <v>0</v>
      </c>
      <c r="AA74" s="146">
        <f t="shared" si="80"/>
        <v>0</v>
      </c>
      <c r="AB74" s="146">
        <f t="shared" si="80"/>
        <v>0</v>
      </c>
      <c r="AC74" s="146">
        <f t="shared" si="80"/>
        <v>0</v>
      </c>
    </row>
    <row r="75" spans="1:29" ht="13.2" x14ac:dyDescent="0.25">
      <c r="A75" s="143"/>
      <c r="B75" s="143"/>
      <c r="C75" s="143"/>
      <c r="D75" s="144"/>
      <c r="E75" s="143"/>
      <c r="F75" s="143"/>
      <c r="G75" s="145"/>
      <c r="H75" s="146">
        <f t="shared" ref="H75:AC75" si="81">G75</f>
        <v>0</v>
      </c>
      <c r="I75" s="146">
        <f t="shared" si="81"/>
        <v>0</v>
      </c>
      <c r="J75" s="146">
        <f t="shared" si="81"/>
        <v>0</v>
      </c>
      <c r="K75" s="146">
        <f t="shared" si="81"/>
        <v>0</v>
      </c>
      <c r="L75" s="146">
        <f t="shared" si="81"/>
        <v>0</v>
      </c>
      <c r="M75" s="146">
        <f t="shared" si="81"/>
        <v>0</v>
      </c>
      <c r="N75" s="146">
        <f t="shared" si="81"/>
        <v>0</v>
      </c>
      <c r="O75" s="146">
        <f t="shared" si="81"/>
        <v>0</v>
      </c>
      <c r="P75" s="146">
        <f t="shared" si="81"/>
        <v>0</v>
      </c>
      <c r="Q75" s="146">
        <f t="shared" si="81"/>
        <v>0</v>
      </c>
      <c r="R75" s="146">
        <f t="shared" si="81"/>
        <v>0</v>
      </c>
      <c r="S75" s="146">
        <f t="shared" si="81"/>
        <v>0</v>
      </c>
      <c r="T75" s="146">
        <f t="shared" si="81"/>
        <v>0</v>
      </c>
      <c r="U75" s="146">
        <f t="shared" si="81"/>
        <v>0</v>
      </c>
      <c r="V75" s="146">
        <f t="shared" si="81"/>
        <v>0</v>
      </c>
      <c r="W75" s="146">
        <f t="shared" si="81"/>
        <v>0</v>
      </c>
      <c r="X75" s="146">
        <f t="shared" si="81"/>
        <v>0</v>
      </c>
      <c r="Y75" s="146">
        <f t="shared" si="81"/>
        <v>0</v>
      </c>
      <c r="Z75" s="146">
        <f t="shared" si="81"/>
        <v>0</v>
      </c>
      <c r="AA75" s="146">
        <f t="shared" si="81"/>
        <v>0</v>
      </c>
      <c r="AB75" s="146">
        <f t="shared" si="81"/>
        <v>0</v>
      </c>
      <c r="AC75" s="146">
        <f t="shared" si="81"/>
        <v>0</v>
      </c>
    </row>
    <row r="76" spans="1:29" ht="13.2" x14ac:dyDescent="0.25">
      <c r="A76" s="143"/>
      <c r="B76" s="143"/>
      <c r="C76" s="143"/>
      <c r="D76" s="144"/>
      <c r="E76" s="143"/>
      <c r="F76" s="143"/>
      <c r="G76" s="145"/>
      <c r="H76" s="146">
        <f t="shared" ref="H76:AC76" si="82">G76</f>
        <v>0</v>
      </c>
      <c r="I76" s="146">
        <f t="shared" si="82"/>
        <v>0</v>
      </c>
      <c r="J76" s="146">
        <f t="shared" si="82"/>
        <v>0</v>
      </c>
      <c r="K76" s="146">
        <f t="shared" si="82"/>
        <v>0</v>
      </c>
      <c r="L76" s="146">
        <f t="shared" si="82"/>
        <v>0</v>
      </c>
      <c r="M76" s="146">
        <f t="shared" si="82"/>
        <v>0</v>
      </c>
      <c r="N76" s="146">
        <f t="shared" si="82"/>
        <v>0</v>
      </c>
      <c r="O76" s="146">
        <f t="shared" si="82"/>
        <v>0</v>
      </c>
      <c r="P76" s="146">
        <f t="shared" si="82"/>
        <v>0</v>
      </c>
      <c r="Q76" s="146">
        <f t="shared" si="82"/>
        <v>0</v>
      </c>
      <c r="R76" s="146">
        <f t="shared" si="82"/>
        <v>0</v>
      </c>
      <c r="S76" s="146">
        <f t="shared" si="82"/>
        <v>0</v>
      </c>
      <c r="T76" s="146">
        <f t="shared" si="82"/>
        <v>0</v>
      </c>
      <c r="U76" s="146">
        <f t="shared" si="82"/>
        <v>0</v>
      </c>
      <c r="V76" s="146">
        <f t="shared" si="82"/>
        <v>0</v>
      </c>
      <c r="W76" s="146">
        <f t="shared" si="82"/>
        <v>0</v>
      </c>
      <c r="X76" s="146">
        <f t="shared" si="82"/>
        <v>0</v>
      </c>
      <c r="Y76" s="146">
        <f t="shared" si="82"/>
        <v>0</v>
      </c>
      <c r="Z76" s="146">
        <f t="shared" si="82"/>
        <v>0</v>
      </c>
      <c r="AA76" s="146">
        <f t="shared" si="82"/>
        <v>0</v>
      </c>
      <c r="AB76" s="146">
        <f t="shared" si="82"/>
        <v>0</v>
      </c>
      <c r="AC76" s="146">
        <f t="shared" si="82"/>
        <v>0</v>
      </c>
    </row>
    <row r="77" spans="1:29" ht="13.2" x14ac:dyDescent="0.25">
      <c r="A77" s="143"/>
      <c r="B77" s="143"/>
      <c r="C77" s="143"/>
      <c r="D77" s="144"/>
      <c r="E77" s="143"/>
      <c r="F77" s="143"/>
      <c r="G77" s="145"/>
      <c r="H77" s="146">
        <f t="shared" ref="H77:AC77" si="83">G77</f>
        <v>0</v>
      </c>
      <c r="I77" s="146">
        <f t="shared" si="83"/>
        <v>0</v>
      </c>
      <c r="J77" s="146">
        <f t="shared" si="83"/>
        <v>0</v>
      </c>
      <c r="K77" s="146">
        <f t="shared" si="83"/>
        <v>0</v>
      </c>
      <c r="L77" s="146">
        <f t="shared" si="83"/>
        <v>0</v>
      </c>
      <c r="M77" s="146">
        <f t="shared" si="83"/>
        <v>0</v>
      </c>
      <c r="N77" s="146">
        <f t="shared" si="83"/>
        <v>0</v>
      </c>
      <c r="O77" s="146">
        <f t="shared" si="83"/>
        <v>0</v>
      </c>
      <c r="P77" s="146">
        <f t="shared" si="83"/>
        <v>0</v>
      </c>
      <c r="Q77" s="146">
        <f t="shared" si="83"/>
        <v>0</v>
      </c>
      <c r="R77" s="146">
        <f t="shared" si="83"/>
        <v>0</v>
      </c>
      <c r="S77" s="146">
        <f t="shared" si="83"/>
        <v>0</v>
      </c>
      <c r="T77" s="146">
        <f t="shared" si="83"/>
        <v>0</v>
      </c>
      <c r="U77" s="146">
        <f t="shared" si="83"/>
        <v>0</v>
      </c>
      <c r="V77" s="146">
        <f t="shared" si="83"/>
        <v>0</v>
      </c>
      <c r="W77" s="146">
        <f t="shared" si="83"/>
        <v>0</v>
      </c>
      <c r="X77" s="146">
        <f t="shared" si="83"/>
        <v>0</v>
      </c>
      <c r="Y77" s="146">
        <f t="shared" si="83"/>
        <v>0</v>
      </c>
      <c r="Z77" s="146">
        <f t="shared" si="83"/>
        <v>0</v>
      </c>
      <c r="AA77" s="146">
        <f t="shared" si="83"/>
        <v>0</v>
      </c>
      <c r="AB77" s="146">
        <f t="shared" si="83"/>
        <v>0</v>
      </c>
      <c r="AC77" s="146">
        <f t="shared" si="83"/>
        <v>0</v>
      </c>
    </row>
    <row r="78" spans="1:29" ht="13.2" x14ac:dyDescent="0.25">
      <c r="A78" s="143"/>
      <c r="B78" s="143"/>
      <c r="C78" s="143"/>
      <c r="D78" s="144"/>
      <c r="E78" s="143"/>
      <c r="F78" s="143"/>
      <c r="G78" s="145"/>
      <c r="H78" s="146">
        <f t="shared" ref="H78:AC78" si="84">G78</f>
        <v>0</v>
      </c>
      <c r="I78" s="146">
        <f t="shared" si="84"/>
        <v>0</v>
      </c>
      <c r="J78" s="146">
        <f t="shared" si="84"/>
        <v>0</v>
      </c>
      <c r="K78" s="146">
        <f t="shared" si="84"/>
        <v>0</v>
      </c>
      <c r="L78" s="146">
        <f t="shared" si="84"/>
        <v>0</v>
      </c>
      <c r="M78" s="146">
        <f t="shared" si="84"/>
        <v>0</v>
      </c>
      <c r="N78" s="146">
        <f t="shared" si="84"/>
        <v>0</v>
      </c>
      <c r="O78" s="146">
        <f t="shared" si="84"/>
        <v>0</v>
      </c>
      <c r="P78" s="146">
        <f t="shared" si="84"/>
        <v>0</v>
      </c>
      <c r="Q78" s="146">
        <f t="shared" si="84"/>
        <v>0</v>
      </c>
      <c r="R78" s="146">
        <f t="shared" si="84"/>
        <v>0</v>
      </c>
      <c r="S78" s="146">
        <f t="shared" si="84"/>
        <v>0</v>
      </c>
      <c r="T78" s="146">
        <f t="shared" si="84"/>
        <v>0</v>
      </c>
      <c r="U78" s="146">
        <f t="shared" si="84"/>
        <v>0</v>
      </c>
      <c r="V78" s="146">
        <f t="shared" si="84"/>
        <v>0</v>
      </c>
      <c r="W78" s="146">
        <f t="shared" si="84"/>
        <v>0</v>
      </c>
      <c r="X78" s="146">
        <f t="shared" si="84"/>
        <v>0</v>
      </c>
      <c r="Y78" s="146">
        <f t="shared" si="84"/>
        <v>0</v>
      </c>
      <c r="Z78" s="146">
        <f t="shared" si="84"/>
        <v>0</v>
      </c>
      <c r="AA78" s="146">
        <f t="shared" si="84"/>
        <v>0</v>
      </c>
      <c r="AB78" s="146">
        <f t="shared" si="84"/>
        <v>0</v>
      </c>
      <c r="AC78" s="146">
        <f t="shared" si="84"/>
        <v>0</v>
      </c>
    </row>
    <row r="79" spans="1:29" ht="13.2" x14ac:dyDescent="0.25">
      <c r="A79" s="143"/>
      <c r="B79" s="143"/>
      <c r="C79" s="143"/>
      <c r="D79" s="144"/>
      <c r="E79" s="143"/>
      <c r="F79" s="143"/>
      <c r="G79" s="145"/>
      <c r="H79" s="146">
        <f t="shared" ref="H79:AC79" si="85">G79</f>
        <v>0</v>
      </c>
      <c r="I79" s="146">
        <f t="shared" si="85"/>
        <v>0</v>
      </c>
      <c r="J79" s="146">
        <f t="shared" si="85"/>
        <v>0</v>
      </c>
      <c r="K79" s="146">
        <f t="shared" si="85"/>
        <v>0</v>
      </c>
      <c r="L79" s="146">
        <f t="shared" si="85"/>
        <v>0</v>
      </c>
      <c r="M79" s="146">
        <f t="shared" si="85"/>
        <v>0</v>
      </c>
      <c r="N79" s="146">
        <f t="shared" si="85"/>
        <v>0</v>
      </c>
      <c r="O79" s="146">
        <f t="shared" si="85"/>
        <v>0</v>
      </c>
      <c r="P79" s="146">
        <f t="shared" si="85"/>
        <v>0</v>
      </c>
      <c r="Q79" s="146">
        <f t="shared" si="85"/>
        <v>0</v>
      </c>
      <c r="R79" s="146">
        <f t="shared" si="85"/>
        <v>0</v>
      </c>
      <c r="S79" s="146">
        <f t="shared" si="85"/>
        <v>0</v>
      </c>
      <c r="T79" s="146">
        <f t="shared" si="85"/>
        <v>0</v>
      </c>
      <c r="U79" s="146">
        <f t="shared" si="85"/>
        <v>0</v>
      </c>
      <c r="V79" s="146">
        <f t="shared" si="85"/>
        <v>0</v>
      </c>
      <c r="W79" s="146">
        <f t="shared" si="85"/>
        <v>0</v>
      </c>
      <c r="X79" s="146">
        <f t="shared" si="85"/>
        <v>0</v>
      </c>
      <c r="Y79" s="146">
        <f t="shared" si="85"/>
        <v>0</v>
      </c>
      <c r="Z79" s="146">
        <f t="shared" si="85"/>
        <v>0</v>
      </c>
      <c r="AA79" s="146">
        <f t="shared" si="85"/>
        <v>0</v>
      </c>
      <c r="AB79" s="146">
        <f t="shared" si="85"/>
        <v>0</v>
      </c>
      <c r="AC79" s="146">
        <f t="shared" si="85"/>
        <v>0</v>
      </c>
    </row>
    <row r="80" spans="1:29" ht="13.2" x14ac:dyDescent="0.25">
      <c r="A80" s="143"/>
      <c r="B80" s="143"/>
      <c r="C80" s="143"/>
      <c r="D80" s="144"/>
      <c r="E80" s="143"/>
      <c r="F80" s="143"/>
      <c r="G80" s="145"/>
      <c r="H80" s="146">
        <f t="shared" ref="H80:AC80" si="86">G80</f>
        <v>0</v>
      </c>
      <c r="I80" s="146">
        <f t="shared" si="86"/>
        <v>0</v>
      </c>
      <c r="J80" s="146">
        <f t="shared" si="86"/>
        <v>0</v>
      </c>
      <c r="K80" s="146">
        <f t="shared" si="86"/>
        <v>0</v>
      </c>
      <c r="L80" s="146">
        <f t="shared" si="86"/>
        <v>0</v>
      </c>
      <c r="M80" s="146">
        <f t="shared" si="86"/>
        <v>0</v>
      </c>
      <c r="N80" s="146">
        <f t="shared" si="86"/>
        <v>0</v>
      </c>
      <c r="O80" s="146">
        <f t="shared" si="86"/>
        <v>0</v>
      </c>
      <c r="P80" s="146">
        <f t="shared" si="86"/>
        <v>0</v>
      </c>
      <c r="Q80" s="146">
        <f t="shared" si="86"/>
        <v>0</v>
      </c>
      <c r="R80" s="146">
        <f t="shared" si="86"/>
        <v>0</v>
      </c>
      <c r="S80" s="146">
        <f t="shared" si="86"/>
        <v>0</v>
      </c>
      <c r="T80" s="146">
        <f t="shared" si="86"/>
        <v>0</v>
      </c>
      <c r="U80" s="146">
        <f t="shared" si="86"/>
        <v>0</v>
      </c>
      <c r="V80" s="146">
        <f t="shared" si="86"/>
        <v>0</v>
      </c>
      <c r="W80" s="146">
        <f t="shared" si="86"/>
        <v>0</v>
      </c>
      <c r="X80" s="146">
        <f t="shared" si="86"/>
        <v>0</v>
      </c>
      <c r="Y80" s="146">
        <f t="shared" si="86"/>
        <v>0</v>
      </c>
      <c r="Z80" s="146">
        <f t="shared" si="86"/>
        <v>0</v>
      </c>
      <c r="AA80" s="146">
        <f t="shared" si="86"/>
        <v>0</v>
      </c>
      <c r="AB80" s="146">
        <f t="shared" si="86"/>
        <v>0</v>
      </c>
      <c r="AC80" s="146">
        <f t="shared" si="86"/>
        <v>0</v>
      </c>
    </row>
    <row r="81" spans="1:29" ht="13.2" x14ac:dyDescent="0.25">
      <c r="A81" s="143"/>
      <c r="B81" s="143"/>
      <c r="C81" s="143"/>
      <c r="D81" s="144"/>
      <c r="E81" s="143"/>
      <c r="F81" s="143"/>
      <c r="G81" s="145"/>
      <c r="H81" s="146">
        <f t="shared" ref="H81:AC81" si="87">G81</f>
        <v>0</v>
      </c>
      <c r="I81" s="146">
        <f t="shared" si="87"/>
        <v>0</v>
      </c>
      <c r="J81" s="146">
        <f t="shared" si="87"/>
        <v>0</v>
      </c>
      <c r="K81" s="146">
        <f t="shared" si="87"/>
        <v>0</v>
      </c>
      <c r="L81" s="146">
        <f t="shared" si="87"/>
        <v>0</v>
      </c>
      <c r="M81" s="146">
        <f t="shared" si="87"/>
        <v>0</v>
      </c>
      <c r="N81" s="146">
        <f t="shared" si="87"/>
        <v>0</v>
      </c>
      <c r="O81" s="146">
        <f t="shared" si="87"/>
        <v>0</v>
      </c>
      <c r="P81" s="146">
        <f t="shared" si="87"/>
        <v>0</v>
      </c>
      <c r="Q81" s="146">
        <f t="shared" si="87"/>
        <v>0</v>
      </c>
      <c r="R81" s="146">
        <f t="shared" si="87"/>
        <v>0</v>
      </c>
      <c r="S81" s="146">
        <f t="shared" si="87"/>
        <v>0</v>
      </c>
      <c r="T81" s="146">
        <f t="shared" si="87"/>
        <v>0</v>
      </c>
      <c r="U81" s="146">
        <f t="shared" si="87"/>
        <v>0</v>
      </c>
      <c r="V81" s="146">
        <f t="shared" si="87"/>
        <v>0</v>
      </c>
      <c r="W81" s="146">
        <f t="shared" si="87"/>
        <v>0</v>
      </c>
      <c r="X81" s="146">
        <f t="shared" si="87"/>
        <v>0</v>
      </c>
      <c r="Y81" s="146">
        <f t="shared" si="87"/>
        <v>0</v>
      </c>
      <c r="Z81" s="146">
        <f t="shared" si="87"/>
        <v>0</v>
      </c>
      <c r="AA81" s="146">
        <f t="shared" si="87"/>
        <v>0</v>
      </c>
      <c r="AB81" s="146">
        <f t="shared" si="87"/>
        <v>0</v>
      </c>
      <c r="AC81" s="146">
        <f t="shared" si="87"/>
        <v>0</v>
      </c>
    </row>
    <row r="82" spans="1:29" ht="13.2" x14ac:dyDescent="0.25">
      <c r="A82" s="143"/>
      <c r="B82" s="143"/>
      <c r="C82" s="143"/>
      <c r="D82" s="144"/>
      <c r="E82" s="143"/>
      <c r="F82" s="143"/>
      <c r="G82" s="145"/>
      <c r="H82" s="146">
        <f t="shared" ref="H82:AC82" si="88">G82</f>
        <v>0</v>
      </c>
      <c r="I82" s="146">
        <f t="shared" si="88"/>
        <v>0</v>
      </c>
      <c r="J82" s="146">
        <f t="shared" si="88"/>
        <v>0</v>
      </c>
      <c r="K82" s="146">
        <f t="shared" si="88"/>
        <v>0</v>
      </c>
      <c r="L82" s="146">
        <f t="shared" si="88"/>
        <v>0</v>
      </c>
      <c r="M82" s="146">
        <f t="shared" si="88"/>
        <v>0</v>
      </c>
      <c r="N82" s="146">
        <f t="shared" si="88"/>
        <v>0</v>
      </c>
      <c r="O82" s="146">
        <f t="shared" si="88"/>
        <v>0</v>
      </c>
      <c r="P82" s="146">
        <f t="shared" si="88"/>
        <v>0</v>
      </c>
      <c r="Q82" s="146">
        <f t="shared" si="88"/>
        <v>0</v>
      </c>
      <c r="R82" s="146">
        <f t="shared" si="88"/>
        <v>0</v>
      </c>
      <c r="S82" s="146">
        <f t="shared" si="88"/>
        <v>0</v>
      </c>
      <c r="T82" s="146">
        <f t="shared" si="88"/>
        <v>0</v>
      </c>
      <c r="U82" s="146">
        <f t="shared" si="88"/>
        <v>0</v>
      </c>
      <c r="V82" s="146">
        <f t="shared" si="88"/>
        <v>0</v>
      </c>
      <c r="W82" s="146">
        <f t="shared" si="88"/>
        <v>0</v>
      </c>
      <c r="X82" s="146">
        <f t="shared" si="88"/>
        <v>0</v>
      </c>
      <c r="Y82" s="146">
        <f t="shared" si="88"/>
        <v>0</v>
      </c>
      <c r="Z82" s="146">
        <f t="shared" si="88"/>
        <v>0</v>
      </c>
      <c r="AA82" s="146">
        <f t="shared" si="88"/>
        <v>0</v>
      </c>
      <c r="AB82" s="146">
        <f t="shared" si="88"/>
        <v>0</v>
      </c>
      <c r="AC82" s="146">
        <f t="shared" si="88"/>
        <v>0</v>
      </c>
    </row>
    <row r="83" spans="1:29" ht="13.2" x14ac:dyDescent="0.25">
      <c r="A83" s="143"/>
      <c r="B83" s="143"/>
      <c r="C83" s="143"/>
      <c r="D83" s="144"/>
      <c r="E83" s="143"/>
      <c r="F83" s="143"/>
      <c r="G83" s="145"/>
      <c r="H83" s="146">
        <f t="shared" ref="H83:AC83" si="89">G83</f>
        <v>0</v>
      </c>
      <c r="I83" s="146">
        <f t="shared" si="89"/>
        <v>0</v>
      </c>
      <c r="J83" s="146">
        <f t="shared" si="89"/>
        <v>0</v>
      </c>
      <c r="K83" s="146">
        <f t="shared" si="89"/>
        <v>0</v>
      </c>
      <c r="L83" s="146">
        <f t="shared" si="89"/>
        <v>0</v>
      </c>
      <c r="M83" s="146">
        <f t="shared" si="89"/>
        <v>0</v>
      </c>
      <c r="N83" s="146">
        <f t="shared" si="89"/>
        <v>0</v>
      </c>
      <c r="O83" s="146">
        <f t="shared" si="89"/>
        <v>0</v>
      </c>
      <c r="P83" s="146">
        <f t="shared" si="89"/>
        <v>0</v>
      </c>
      <c r="Q83" s="146">
        <f t="shared" si="89"/>
        <v>0</v>
      </c>
      <c r="R83" s="146">
        <f t="shared" si="89"/>
        <v>0</v>
      </c>
      <c r="S83" s="146">
        <f t="shared" si="89"/>
        <v>0</v>
      </c>
      <c r="T83" s="146">
        <f t="shared" si="89"/>
        <v>0</v>
      </c>
      <c r="U83" s="146">
        <f t="shared" si="89"/>
        <v>0</v>
      </c>
      <c r="V83" s="146">
        <f t="shared" si="89"/>
        <v>0</v>
      </c>
      <c r="W83" s="146">
        <f t="shared" si="89"/>
        <v>0</v>
      </c>
      <c r="X83" s="146">
        <f t="shared" si="89"/>
        <v>0</v>
      </c>
      <c r="Y83" s="146">
        <f t="shared" si="89"/>
        <v>0</v>
      </c>
      <c r="Z83" s="146">
        <f t="shared" si="89"/>
        <v>0</v>
      </c>
      <c r="AA83" s="146">
        <f t="shared" si="89"/>
        <v>0</v>
      </c>
      <c r="AB83" s="146">
        <f t="shared" si="89"/>
        <v>0</v>
      </c>
      <c r="AC83" s="146">
        <f t="shared" si="89"/>
        <v>0</v>
      </c>
    </row>
    <row r="84" spans="1:29" ht="13.2" x14ac:dyDescent="0.25">
      <c r="A84" s="143"/>
      <c r="B84" s="143"/>
      <c r="C84" s="143"/>
      <c r="D84" s="144"/>
      <c r="E84" s="143"/>
      <c r="F84" s="143"/>
      <c r="G84" s="145"/>
      <c r="H84" s="146">
        <f t="shared" ref="H84:AC84" si="90">G84</f>
        <v>0</v>
      </c>
      <c r="I84" s="146">
        <f t="shared" si="90"/>
        <v>0</v>
      </c>
      <c r="J84" s="146">
        <f t="shared" si="90"/>
        <v>0</v>
      </c>
      <c r="K84" s="146">
        <f t="shared" si="90"/>
        <v>0</v>
      </c>
      <c r="L84" s="146">
        <f t="shared" si="90"/>
        <v>0</v>
      </c>
      <c r="M84" s="146">
        <f t="shared" si="90"/>
        <v>0</v>
      </c>
      <c r="N84" s="146">
        <f t="shared" si="90"/>
        <v>0</v>
      </c>
      <c r="O84" s="146">
        <f t="shared" si="90"/>
        <v>0</v>
      </c>
      <c r="P84" s="146">
        <f t="shared" si="90"/>
        <v>0</v>
      </c>
      <c r="Q84" s="146">
        <f t="shared" si="90"/>
        <v>0</v>
      </c>
      <c r="R84" s="146">
        <f t="shared" si="90"/>
        <v>0</v>
      </c>
      <c r="S84" s="146">
        <f t="shared" si="90"/>
        <v>0</v>
      </c>
      <c r="T84" s="146">
        <f t="shared" si="90"/>
        <v>0</v>
      </c>
      <c r="U84" s="146">
        <f t="shared" si="90"/>
        <v>0</v>
      </c>
      <c r="V84" s="146">
        <f t="shared" si="90"/>
        <v>0</v>
      </c>
      <c r="W84" s="146">
        <f t="shared" si="90"/>
        <v>0</v>
      </c>
      <c r="X84" s="146">
        <f t="shared" si="90"/>
        <v>0</v>
      </c>
      <c r="Y84" s="146">
        <f t="shared" si="90"/>
        <v>0</v>
      </c>
      <c r="Z84" s="146">
        <f t="shared" si="90"/>
        <v>0</v>
      </c>
      <c r="AA84" s="146">
        <f t="shared" si="90"/>
        <v>0</v>
      </c>
      <c r="AB84" s="146">
        <f t="shared" si="90"/>
        <v>0</v>
      </c>
      <c r="AC84" s="146">
        <f t="shared" si="90"/>
        <v>0</v>
      </c>
    </row>
    <row r="85" spans="1:29" ht="13.2" x14ac:dyDescent="0.25">
      <c r="A85" s="143"/>
      <c r="B85" s="143"/>
      <c r="C85" s="143"/>
      <c r="D85" s="144"/>
      <c r="E85" s="143"/>
      <c r="F85" s="143"/>
      <c r="G85" s="145"/>
      <c r="H85" s="146">
        <f t="shared" ref="H85:AC85" si="91">G85</f>
        <v>0</v>
      </c>
      <c r="I85" s="146">
        <f t="shared" si="91"/>
        <v>0</v>
      </c>
      <c r="J85" s="146">
        <f t="shared" si="91"/>
        <v>0</v>
      </c>
      <c r="K85" s="146">
        <f t="shared" si="91"/>
        <v>0</v>
      </c>
      <c r="L85" s="146">
        <f t="shared" si="91"/>
        <v>0</v>
      </c>
      <c r="M85" s="146">
        <f t="shared" si="91"/>
        <v>0</v>
      </c>
      <c r="N85" s="146">
        <f t="shared" si="91"/>
        <v>0</v>
      </c>
      <c r="O85" s="146">
        <f t="shared" si="91"/>
        <v>0</v>
      </c>
      <c r="P85" s="146">
        <f t="shared" si="91"/>
        <v>0</v>
      </c>
      <c r="Q85" s="146">
        <f t="shared" si="91"/>
        <v>0</v>
      </c>
      <c r="R85" s="146">
        <f t="shared" si="91"/>
        <v>0</v>
      </c>
      <c r="S85" s="146">
        <f t="shared" si="91"/>
        <v>0</v>
      </c>
      <c r="T85" s="146">
        <f t="shared" si="91"/>
        <v>0</v>
      </c>
      <c r="U85" s="146">
        <f t="shared" si="91"/>
        <v>0</v>
      </c>
      <c r="V85" s="146">
        <f t="shared" si="91"/>
        <v>0</v>
      </c>
      <c r="W85" s="146">
        <f t="shared" si="91"/>
        <v>0</v>
      </c>
      <c r="X85" s="146">
        <f t="shared" si="91"/>
        <v>0</v>
      </c>
      <c r="Y85" s="146">
        <f t="shared" si="91"/>
        <v>0</v>
      </c>
      <c r="Z85" s="146">
        <f t="shared" si="91"/>
        <v>0</v>
      </c>
      <c r="AA85" s="146">
        <f t="shared" si="91"/>
        <v>0</v>
      </c>
      <c r="AB85" s="146">
        <f t="shared" si="91"/>
        <v>0</v>
      </c>
      <c r="AC85" s="146">
        <f t="shared" si="91"/>
        <v>0</v>
      </c>
    </row>
    <row r="86" spans="1:29" ht="13.2" x14ac:dyDescent="0.25">
      <c r="A86" s="143"/>
      <c r="B86" s="143"/>
      <c r="C86" s="143"/>
      <c r="D86" s="144"/>
      <c r="E86" s="143"/>
      <c r="F86" s="143"/>
      <c r="G86" s="145"/>
      <c r="H86" s="146">
        <f t="shared" ref="H86:AC86" si="92">G86</f>
        <v>0</v>
      </c>
      <c r="I86" s="146">
        <f t="shared" si="92"/>
        <v>0</v>
      </c>
      <c r="J86" s="146">
        <f t="shared" si="92"/>
        <v>0</v>
      </c>
      <c r="K86" s="146">
        <f t="shared" si="92"/>
        <v>0</v>
      </c>
      <c r="L86" s="146">
        <f t="shared" si="92"/>
        <v>0</v>
      </c>
      <c r="M86" s="146">
        <f t="shared" si="92"/>
        <v>0</v>
      </c>
      <c r="N86" s="146">
        <f t="shared" si="92"/>
        <v>0</v>
      </c>
      <c r="O86" s="146">
        <f t="shared" si="92"/>
        <v>0</v>
      </c>
      <c r="P86" s="146">
        <f t="shared" si="92"/>
        <v>0</v>
      </c>
      <c r="Q86" s="146">
        <f t="shared" si="92"/>
        <v>0</v>
      </c>
      <c r="R86" s="146">
        <f t="shared" si="92"/>
        <v>0</v>
      </c>
      <c r="S86" s="146">
        <f t="shared" si="92"/>
        <v>0</v>
      </c>
      <c r="T86" s="146">
        <f t="shared" si="92"/>
        <v>0</v>
      </c>
      <c r="U86" s="146">
        <f t="shared" si="92"/>
        <v>0</v>
      </c>
      <c r="V86" s="146">
        <f t="shared" si="92"/>
        <v>0</v>
      </c>
      <c r="W86" s="146">
        <f t="shared" si="92"/>
        <v>0</v>
      </c>
      <c r="X86" s="146">
        <f t="shared" si="92"/>
        <v>0</v>
      </c>
      <c r="Y86" s="146">
        <f t="shared" si="92"/>
        <v>0</v>
      </c>
      <c r="Z86" s="146">
        <f t="shared" si="92"/>
        <v>0</v>
      </c>
      <c r="AA86" s="146">
        <f t="shared" si="92"/>
        <v>0</v>
      </c>
      <c r="AB86" s="146">
        <f t="shared" si="92"/>
        <v>0</v>
      </c>
      <c r="AC86" s="146">
        <f t="shared" si="92"/>
        <v>0</v>
      </c>
    </row>
    <row r="87" spans="1:29" ht="13.2" x14ac:dyDescent="0.25">
      <c r="A87" s="143"/>
      <c r="B87" s="143"/>
      <c r="C87" s="143"/>
      <c r="D87" s="144"/>
      <c r="E87" s="143"/>
      <c r="F87" s="143"/>
      <c r="G87" s="145"/>
      <c r="H87" s="146">
        <f t="shared" ref="H87:AC87" si="93">G87</f>
        <v>0</v>
      </c>
      <c r="I87" s="146">
        <f t="shared" si="93"/>
        <v>0</v>
      </c>
      <c r="J87" s="146">
        <f t="shared" si="93"/>
        <v>0</v>
      </c>
      <c r="K87" s="146">
        <f t="shared" si="93"/>
        <v>0</v>
      </c>
      <c r="L87" s="146">
        <f t="shared" si="93"/>
        <v>0</v>
      </c>
      <c r="M87" s="146">
        <f t="shared" si="93"/>
        <v>0</v>
      </c>
      <c r="N87" s="146">
        <f t="shared" si="93"/>
        <v>0</v>
      </c>
      <c r="O87" s="146">
        <f t="shared" si="93"/>
        <v>0</v>
      </c>
      <c r="P87" s="146">
        <f t="shared" si="93"/>
        <v>0</v>
      </c>
      <c r="Q87" s="146">
        <f t="shared" si="93"/>
        <v>0</v>
      </c>
      <c r="R87" s="146">
        <f t="shared" si="93"/>
        <v>0</v>
      </c>
      <c r="S87" s="146">
        <f t="shared" si="93"/>
        <v>0</v>
      </c>
      <c r="T87" s="146">
        <f t="shared" si="93"/>
        <v>0</v>
      </c>
      <c r="U87" s="146">
        <f t="shared" si="93"/>
        <v>0</v>
      </c>
      <c r="V87" s="146">
        <f t="shared" si="93"/>
        <v>0</v>
      </c>
      <c r="W87" s="146">
        <f t="shared" si="93"/>
        <v>0</v>
      </c>
      <c r="X87" s="146">
        <f t="shared" si="93"/>
        <v>0</v>
      </c>
      <c r="Y87" s="146">
        <f t="shared" si="93"/>
        <v>0</v>
      </c>
      <c r="Z87" s="146">
        <f t="shared" si="93"/>
        <v>0</v>
      </c>
      <c r="AA87" s="146">
        <f t="shared" si="93"/>
        <v>0</v>
      </c>
      <c r="AB87" s="146">
        <f t="shared" si="93"/>
        <v>0</v>
      </c>
      <c r="AC87" s="146">
        <f t="shared" si="93"/>
        <v>0</v>
      </c>
    </row>
    <row r="88" spans="1:29" ht="13.2" x14ac:dyDescent="0.25">
      <c r="A88" s="143"/>
      <c r="B88" s="143"/>
      <c r="C88" s="143"/>
      <c r="D88" s="144"/>
      <c r="E88" s="143"/>
      <c r="F88" s="143"/>
      <c r="G88" s="145"/>
      <c r="H88" s="146">
        <f t="shared" ref="H88:AC88" si="94">G88</f>
        <v>0</v>
      </c>
      <c r="I88" s="146">
        <f t="shared" si="94"/>
        <v>0</v>
      </c>
      <c r="J88" s="146">
        <f t="shared" si="94"/>
        <v>0</v>
      </c>
      <c r="K88" s="146">
        <f t="shared" si="94"/>
        <v>0</v>
      </c>
      <c r="L88" s="146">
        <f t="shared" si="94"/>
        <v>0</v>
      </c>
      <c r="M88" s="146">
        <f t="shared" si="94"/>
        <v>0</v>
      </c>
      <c r="N88" s="146">
        <f t="shared" si="94"/>
        <v>0</v>
      </c>
      <c r="O88" s="146">
        <f t="shared" si="94"/>
        <v>0</v>
      </c>
      <c r="P88" s="146">
        <f t="shared" si="94"/>
        <v>0</v>
      </c>
      <c r="Q88" s="146">
        <f t="shared" si="94"/>
        <v>0</v>
      </c>
      <c r="R88" s="146">
        <f t="shared" si="94"/>
        <v>0</v>
      </c>
      <c r="S88" s="146">
        <f t="shared" si="94"/>
        <v>0</v>
      </c>
      <c r="T88" s="146">
        <f t="shared" si="94"/>
        <v>0</v>
      </c>
      <c r="U88" s="146">
        <f t="shared" si="94"/>
        <v>0</v>
      </c>
      <c r="V88" s="146">
        <f t="shared" si="94"/>
        <v>0</v>
      </c>
      <c r="W88" s="146">
        <f t="shared" si="94"/>
        <v>0</v>
      </c>
      <c r="X88" s="146">
        <f t="shared" si="94"/>
        <v>0</v>
      </c>
      <c r="Y88" s="146">
        <f t="shared" si="94"/>
        <v>0</v>
      </c>
      <c r="Z88" s="146">
        <f t="shared" si="94"/>
        <v>0</v>
      </c>
      <c r="AA88" s="146">
        <f t="shared" si="94"/>
        <v>0</v>
      </c>
      <c r="AB88" s="146">
        <f t="shared" si="94"/>
        <v>0</v>
      </c>
      <c r="AC88" s="146">
        <f t="shared" si="94"/>
        <v>0</v>
      </c>
    </row>
    <row r="89" spans="1:29" ht="13.2" x14ac:dyDescent="0.25">
      <c r="A89" s="143"/>
      <c r="B89" s="143"/>
      <c r="C89" s="143"/>
      <c r="D89" s="144"/>
      <c r="E89" s="143"/>
      <c r="F89" s="143"/>
      <c r="G89" s="145"/>
      <c r="H89" s="146">
        <f t="shared" ref="H89:AC89" si="95">G89</f>
        <v>0</v>
      </c>
      <c r="I89" s="146">
        <f t="shared" si="95"/>
        <v>0</v>
      </c>
      <c r="J89" s="146">
        <f t="shared" si="95"/>
        <v>0</v>
      </c>
      <c r="K89" s="146">
        <f t="shared" si="95"/>
        <v>0</v>
      </c>
      <c r="L89" s="146">
        <f t="shared" si="95"/>
        <v>0</v>
      </c>
      <c r="M89" s="146">
        <f t="shared" si="95"/>
        <v>0</v>
      </c>
      <c r="N89" s="146">
        <f t="shared" si="95"/>
        <v>0</v>
      </c>
      <c r="O89" s="146">
        <f t="shared" si="95"/>
        <v>0</v>
      </c>
      <c r="P89" s="146">
        <f t="shared" si="95"/>
        <v>0</v>
      </c>
      <c r="Q89" s="146">
        <f t="shared" si="95"/>
        <v>0</v>
      </c>
      <c r="R89" s="146">
        <f t="shared" si="95"/>
        <v>0</v>
      </c>
      <c r="S89" s="146">
        <f t="shared" si="95"/>
        <v>0</v>
      </c>
      <c r="T89" s="146">
        <f t="shared" si="95"/>
        <v>0</v>
      </c>
      <c r="U89" s="146">
        <f t="shared" si="95"/>
        <v>0</v>
      </c>
      <c r="V89" s="146">
        <f t="shared" si="95"/>
        <v>0</v>
      </c>
      <c r="W89" s="146">
        <f t="shared" si="95"/>
        <v>0</v>
      </c>
      <c r="X89" s="146">
        <f t="shared" si="95"/>
        <v>0</v>
      </c>
      <c r="Y89" s="146">
        <f t="shared" si="95"/>
        <v>0</v>
      </c>
      <c r="Z89" s="146">
        <f t="shared" si="95"/>
        <v>0</v>
      </c>
      <c r="AA89" s="146">
        <f t="shared" si="95"/>
        <v>0</v>
      </c>
      <c r="AB89" s="146">
        <f t="shared" si="95"/>
        <v>0</v>
      </c>
      <c r="AC89" s="146">
        <f t="shared" si="95"/>
        <v>0</v>
      </c>
    </row>
    <row r="90" spans="1:29" ht="13.2" x14ac:dyDescent="0.25">
      <c r="A90" s="143"/>
      <c r="B90" s="143"/>
      <c r="C90" s="143"/>
      <c r="D90" s="144"/>
      <c r="E90" s="143"/>
      <c r="F90" s="143"/>
      <c r="G90" s="145"/>
      <c r="H90" s="146">
        <f t="shared" ref="H90:AC90" si="96">G90</f>
        <v>0</v>
      </c>
      <c r="I90" s="146">
        <f t="shared" si="96"/>
        <v>0</v>
      </c>
      <c r="J90" s="146">
        <f t="shared" si="96"/>
        <v>0</v>
      </c>
      <c r="K90" s="146">
        <f t="shared" si="96"/>
        <v>0</v>
      </c>
      <c r="L90" s="146">
        <f t="shared" si="96"/>
        <v>0</v>
      </c>
      <c r="M90" s="146">
        <f t="shared" si="96"/>
        <v>0</v>
      </c>
      <c r="N90" s="146">
        <f t="shared" si="96"/>
        <v>0</v>
      </c>
      <c r="O90" s="146">
        <f t="shared" si="96"/>
        <v>0</v>
      </c>
      <c r="P90" s="146">
        <f t="shared" si="96"/>
        <v>0</v>
      </c>
      <c r="Q90" s="146">
        <f t="shared" si="96"/>
        <v>0</v>
      </c>
      <c r="R90" s="146">
        <f t="shared" si="96"/>
        <v>0</v>
      </c>
      <c r="S90" s="146">
        <f t="shared" si="96"/>
        <v>0</v>
      </c>
      <c r="T90" s="146">
        <f t="shared" si="96"/>
        <v>0</v>
      </c>
      <c r="U90" s="146">
        <f t="shared" si="96"/>
        <v>0</v>
      </c>
      <c r="V90" s="146">
        <f t="shared" si="96"/>
        <v>0</v>
      </c>
      <c r="W90" s="146">
        <f t="shared" si="96"/>
        <v>0</v>
      </c>
      <c r="X90" s="146">
        <f t="shared" si="96"/>
        <v>0</v>
      </c>
      <c r="Y90" s="146">
        <f t="shared" si="96"/>
        <v>0</v>
      </c>
      <c r="Z90" s="146">
        <f t="shared" si="96"/>
        <v>0</v>
      </c>
      <c r="AA90" s="146">
        <f t="shared" si="96"/>
        <v>0</v>
      </c>
      <c r="AB90" s="146">
        <f t="shared" si="96"/>
        <v>0</v>
      </c>
      <c r="AC90" s="146">
        <f t="shared" si="96"/>
        <v>0</v>
      </c>
    </row>
    <row r="91" spans="1:29" ht="13.2" x14ac:dyDescent="0.25">
      <c r="A91" s="143"/>
      <c r="B91" s="143"/>
      <c r="C91" s="143"/>
      <c r="D91" s="144"/>
      <c r="E91" s="143"/>
      <c r="F91" s="143"/>
      <c r="G91" s="145"/>
      <c r="H91" s="146">
        <f t="shared" ref="H91:AC91" si="97">G91</f>
        <v>0</v>
      </c>
      <c r="I91" s="146">
        <f t="shared" si="97"/>
        <v>0</v>
      </c>
      <c r="J91" s="146">
        <f t="shared" si="97"/>
        <v>0</v>
      </c>
      <c r="K91" s="146">
        <f t="shared" si="97"/>
        <v>0</v>
      </c>
      <c r="L91" s="146">
        <f t="shared" si="97"/>
        <v>0</v>
      </c>
      <c r="M91" s="146">
        <f t="shared" si="97"/>
        <v>0</v>
      </c>
      <c r="N91" s="146">
        <f t="shared" si="97"/>
        <v>0</v>
      </c>
      <c r="O91" s="146">
        <f t="shared" si="97"/>
        <v>0</v>
      </c>
      <c r="P91" s="146">
        <f t="shared" si="97"/>
        <v>0</v>
      </c>
      <c r="Q91" s="146">
        <f t="shared" si="97"/>
        <v>0</v>
      </c>
      <c r="R91" s="146">
        <f t="shared" si="97"/>
        <v>0</v>
      </c>
      <c r="S91" s="146">
        <f t="shared" si="97"/>
        <v>0</v>
      </c>
      <c r="T91" s="146">
        <f t="shared" si="97"/>
        <v>0</v>
      </c>
      <c r="U91" s="146">
        <f t="shared" si="97"/>
        <v>0</v>
      </c>
      <c r="V91" s="146">
        <f t="shared" si="97"/>
        <v>0</v>
      </c>
      <c r="W91" s="146">
        <f t="shared" si="97"/>
        <v>0</v>
      </c>
      <c r="X91" s="146">
        <f t="shared" si="97"/>
        <v>0</v>
      </c>
      <c r="Y91" s="146">
        <f t="shared" si="97"/>
        <v>0</v>
      </c>
      <c r="Z91" s="146">
        <f t="shared" si="97"/>
        <v>0</v>
      </c>
      <c r="AA91" s="146">
        <f t="shared" si="97"/>
        <v>0</v>
      </c>
      <c r="AB91" s="146">
        <f t="shared" si="97"/>
        <v>0</v>
      </c>
      <c r="AC91" s="146">
        <f t="shared" si="97"/>
        <v>0</v>
      </c>
    </row>
    <row r="92" spans="1:29" ht="13.2" x14ac:dyDescent="0.25">
      <c r="A92" s="143"/>
      <c r="B92" s="143"/>
      <c r="C92" s="143"/>
      <c r="D92" s="144"/>
      <c r="E92" s="143"/>
      <c r="F92" s="143"/>
      <c r="G92" s="145"/>
      <c r="H92" s="146">
        <f t="shared" ref="H92:AC92" si="98">G92</f>
        <v>0</v>
      </c>
      <c r="I92" s="146">
        <f t="shared" si="98"/>
        <v>0</v>
      </c>
      <c r="J92" s="146">
        <f t="shared" si="98"/>
        <v>0</v>
      </c>
      <c r="K92" s="146">
        <f t="shared" si="98"/>
        <v>0</v>
      </c>
      <c r="L92" s="146">
        <f t="shared" si="98"/>
        <v>0</v>
      </c>
      <c r="M92" s="146">
        <f t="shared" si="98"/>
        <v>0</v>
      </c>
      <c r="N92" s="146">
        <f t="shared" si="98"/>
        <v>0</v>
      </c>
      <c r="O92" s="146">
        <f t="shared" si="98"/>
        <v>0</v>
      </c>
      <c r="P92" s="146">
        <f t="shared" si="98"/>
        <v>0</v>
      </c>
      <c r="Q92" s="146">
        <f t="shared" si="98"/>
        <v>0</v>
      </c>
      <c r="R92" s="146">
        <f t="shared" si="98"/>
        <v>0</v>
      </c>
      <c r="S92" s="146">
        <f t="shared" si="98"/>
        <v>0</v>
      </c>
      <c r="T92" s="146">
        <f t="shared" si="98"/>
        <v>0</v>
      </c>
      <c r="U92" s="146">
        <f t="shared" si="98"/>
        <v>0</v>
      </c>
      <c r="V92" s="146">
        <f t="shared" si="98"/>
        <v>0</v>
      </c>
      <c r="W92" s="146">
        <f t="shared" si="98"/>
        <v>0</v>
      </c>
      <c r="X92" s="146">
        <f t="shared" si="98"/>
        <v>0</v>
      </c>
      <c r="Y92" s="146">
        <f t="shared" si="98"/>
        <v>0</v>
      </c>
      <c r="Z92" s="146">
        <f t="shared" si="98"/>
        <v>0</v>
      </c>
      <c r="AA92" s="146">
        <f t="shared" si="98"/>
        <v>0</v>
      </c>
      <c r="AB92" s="146">
        <f t="shared" si="98"/>
        <v>0</v>
      </c>
      <c r="AC92" s="146">
        <f t="shared" si="98"/>
        <v>0</v>
      </c>
    </row>
    <row r="93" spans="1:29" ht="13.2" x14ac:dyDescent="0.25">
      <c r="A93" s="143"/>
      <c r="B93" s="143"/>
      <c r="C93" s="143"/>
      <c r="D93" s="144"/>
      <c r="E93" s="143"/>
      <c r="F93" s="143"/>
      <c r="G93" s="145"/>
      <c r="H93" s="146">
        <f t="shared" ref="H93:AC93" si="99">G93</f>
        <v>0</v>
      </c>
      <c r="I93" s="146">
        <f t="shared" si="99"/>
        <v>0</v>
      </c>
      <c r="J93" s="146">
        <f t="shared" si="99"/>
        <v>0</v>
      </c>
      <c r="K93" s="146">
        <f t="shared" si="99"/>
        <v>0</v>
      </c>
      <c r="L93" s="146">
        <f t="shared" si="99"/>
        <v>0</v>
      </c>
      <c r="M93" s="146">
        <f t="shared" si="99"/>
        <v>0</v>
      </c>
      <c r="N93" s="146">
        <f t="shared" si="99"/>
        <v>0</v>
      </c>
      <c r="O93" s="146">
        <f t="shared" si="99"/>
        <v>0</v>
      </c>
      <c r="P93" s="146">
        <f t="shared" si="99"/>
        <v>0</v>
      </c>
      <c r="Q93" s="146">
        <f t="shared" si="99"/>
        <v>0</v>
      </c>
      <c r="R93" s="146">
        <f t="shared" si="99"/>
        <v>0</v>
      </c>
      <c r="S93" s="146">
        <f t="shared" si="99"/>
        <v>0</v>
      </c>
      <c r="T93" s="146">
        <f t="shared" si="99"/>
        <v>0</v>
      </c>
      <c r="U93" s="146">
        <f t="shared" si="99"/>
        <v>0</v>
      </c>
      <c r="V93" s="146">
        <f t="shared" si="99"/>
        <v>0</v>
      </c>
      <c r="W93" s="146">
        <f t="shared" si="99"/>
        <v>0</v>
      </c>
      <c r="X93" s="146">
        <f t="shared" si="99"/>
        <v>0</v>
      </c>
      <c r="Y93" s="146">
        <f t="shared" si="99"/>
        <v>0</v>
      </c>
      <c r="Z93" s="146">
        <f t="shared" si="99"/>
        <v>0</v>
      </c>
      <c r="AA93" s="146">
        <f t="shared" si="99"/>
        <v>0</v>
      </c>
      <c r="AB93" s="146">
        <f t="shared" si="99"/>
        <v>0</v>
      </c>
      <c r="AC93" s="146">
        <f t="shared" si="99"/>
        <v>0</v>
      </c>
    </row>
    <row r="94" spans="1:29" ht="13.2" x14ac:dyDescent="0.25">
      <c r="A94" s="143"/>
      <c r="B94" s="143"/>
      <c r="C94" s="143"/>
      <c r="D94" s="144"/>
      <c r="E94" s="143"/>
      <c r="F94" s="143"/>
      <c r="G94" s="145"/>
      <c r="H94" s="146">
        <f t="shared" ref="H94:AC94" si="100">G94</f>
        <v>0</v>
      </c>
      <c r="I94" s="146">
        <f t="shared" si="100"/>
        <v>0</v>
      </c>
      <c r="J94" s="146">
        <f t="shared" si="100"/>
        <v>0</v>
      </c>
      <c r="K94" s="146">
        <f t="shared" si="100"/>
        <v>0</v>
      </c>
      <c r="L94" s="146">
        <f t="shared" si="100"/>
        <v>0</v>
      </c>
      <c r="M94" s="146">
        <f t="shared" si="100"/>
        <v>0</v>
      </c>
      <c r="N94" s="146">
        <f t="shared" si="100"/>
        <v>0</v>
      </c>
      <c r="O94" s="146">
        <f t="shared" si="100"/>
        <v>0</v>
      </c>
      <c r="P94" s="146">
        <f t="shared" si="100"/>
        <v>0</v>
      </c>
      <c r="Q94" s="146">
        <f t="shared" si="100"/>
        <v>0</v>
      </c>
      <c r="R94" s="146">
        <f t="shared" si="100"/>
        <v>0</v>
      </c>
      <c r="S94" s="146">
        <f t="shared" si="100"/>
        <v>0</v>
      </c>
      <c r="T94" s="146">
        <f t="shared" si="100"/>
        <v>0</v>
      </c>
      <c r="U94" s="146">
        <f t="shared" si="100"/>
        <v>0</v>
      </c>
      <c r="V94" s="146">
        <f t="shared" si="100"/>
        <v>0</v>
      </c>
      <c r="W94" s="146">
        <f t="shared" si="100"/>
        <v>0</v>
      </c>
      <c r="X94" s="146">
        <f t="shared" si="100"/>
        <v>0</v>
      </c>
      <c r="Y94" s="146">
        <f t="shared" si="100"/>
        <v>0</v>
      </c>
      <c r="Z94" s="146">
        <f t="shared" si="100"/>
        <v>0</v>
      </c>
      <c r="AA94" s="146">
        <f t="shared" si="100"/>
        <v>0</v>
      </c>
      <c r="AB94" s="146">
        <f t="shared" si="100"/>
        <v>0</v>
      </c>
      <c r="AC94" s="146">
        <f t="shared" si="100"/>
        <v>0</v>
      </c>
    </row>
    <row r="95" spans="1:29" ht="13.2" x14ac:dyDescent="0.25">
      <c r="A95" s="143"/>
      <c r="B95" s="143"/>
      <c r="C95" s="143"/>
      <c r="D95" s="144"/>
      <c r="E95" s="143"/>
      <c r="F95" s="143"/>
      <c r="G95" s="145"/>
      <c r="H95" s="146">
        <f t="shared" ref="H95:AC95" si="101">G95</f>
        <v>0</v>
      </c>
      <c r="I95" s="146">
        <f t="shared" si="101"/>
        <v>0</v>
      </c>
      <c r="J95" s="146">
        <f t="shared" si="101"/>
        <v>0</v>
      </c>
      <c r="K95" s="146">
        <f t="shared" si="101"/>
        <v>0</v>
      </c>
      <c r="L95" s="146">
        <f t="shared" si="101"/>
        <v>0</v>
      </c>
      <c r="M95" s="146">
        <f t="shared" si="101"/>
        <v>0</v>
      </c>
      <c r="N95" s="146">
        <f t="shared" si="101"/>
        <v>0</v>
      </c>
      <c r="O95" s="146">
        <f t="shared" si="101"/>
        <v>0</v>
      </c>
      <c r="P95" s="146">
        <f t="shared" si="101"/>
        <v>0</v>
      </c>
      <c r="Q95" s="146">
        <f t="shared" si="101"/>
        <v>0</v>
      </c>
      <c r="R95" s="146">
        <f t="shared" si="101"/>
        <v>0</v>
      </c>
      <c r="S95" s="146">
        <f t="shared" si="101"/>
        <v>0</v>
      </c>
      <c r="T95" s="146">
        <f t="shared" si="101"/>
        <v>0</v>
      </c>
      <c r="U95" s="146">
        <f t="shared" si="101"/>
        <v>0</v>
      </c>
      <c r="V95" s="146">
        <f t="shared" si="101"/>
        <v>0</v>
      </c>
      <c r="W95" s="146">
        <f t="shared" si="101"/>
        <v>0</v>
      </c>
      <c r="X95" s="146">
        <f t="shared" si="101"/>
        <v>0</v>
      </c>
      <c r="Y95" s="146">
        <f t="shared" si="101"/>
        <v>0</v>
      </c>
      <c r="Z95" s="146">
        <f t="shared" si="101"/>
        <v>0</v>
      </c>
      <c r="AA95" s="146">
        <f t="shared" si="101"/>
        <v>0</v>
      </c>
      <c r="AB95" s="146">
        <f t="shared" si="101"/>
        <v>0</v>
      </c>
      <c r="AC95" s="146">
        <f t="shared" si="101"/>
        <v>0</v>
      </c>
    </row>
    <row r="96" spans="1:29" ht="13.2" x14ac:dyDescent="0.25">
      <c r="A96" s="143"/>
      <c r="B96" s="143"/>
      <c r="C96" s="143"/>
      <c r="D96" s="144"/>
      <c r="E96" s="143"/>
      <c r="F96" s="143"/>
      <c r="G96" s="145"/>
      <c r="H96" s="146">
        <f t="shared" ref="H96:AC96" si="102">G96</f>
        <v>0</v>
      </c>
      <c r="I96" s="146">
        <f t="shared" si="102"/>
        <v>0</v>
      </c>
      <c r="J96" s="146">
        <f t="shared" si="102"/>
        <v>0</v>
      </c>
      <c r="K96" s="146">
        <f t="shared" si="102"/>
        <v>0</v>
      </c>
      <c r="L96" s="146">
        <f t="shared" si="102"/>
        <v>0</v>
      </c>
      <c r="M96" s="146">
        <f t="shared" si="102"/>
        <v>0</v>
      </c>
      <c r="N96" s="146">
        <f t="shared" si="102"/>
        <v>0</v>
      </c>
      <c r="O96" s="146">
        <f t="shared" si="102"/>
        <v>0</v>
      </c>
      <c r="P96" s="146">
        <f t="shared" si="102"/>
        <v>0</v>
      </c>
      <c r="Q96" s="146">
        <f t="shared" si="102"/>
        <v>0</v>
      </c>
      <c r="R96" s="146">
        <f t="shared" si="102"/>
        <v>0</v>
      </c>
      <c r="S96" s="146">
        <f t="shared" si="102"/>
        <v>0</v>
      </c>
      <c r="T96" s="146">
        <f t="shared" si="102"/>
        <v>0</v>
      </c>
      <c r="U96" s="146">
        <f t="shared" si="102"/>
        <v>0</v>
      </c>
      <c r="V96" s="146">
        <f t="shared" si="102"/>
        <v>0</v>
      </c>
      <c r="W96" s="146">
        <f t="shared" si="102"/>
        <v>0</v>
      </c>
      <c r="X96" s="146">
        <f t="shared" si="102"/>
        <v>0</v>
      </c>
      <c r="Y96" s="146">
        <f t="shared" si="102"/>
        <v>0</v>
      </c>
      <c r="Z96" s="146">
        <f t="shared" si="102"/>
        <v>0</v>
      </c>
      <c r="AA96" s="146">
        <f t="shared" si="102"/>
        <v>0</v>
      </c>
      <c r="AB96" s="146">
        <f t="shared" si="102"/>
        <v>0</v>
      </c>
      <c r="AC96" s="146">
        <f t="shared" si="102"/>
        <v>0</v>
      </c>
    </row>
    <row r="97" spans="1:29" ht="13.2" x14ac:dyDescent="0.25">
      <c r="A97" s="143"/>
      <c r="B97" s="143"/>
      <c r="C97" s="143"/>
      <c r="D97" s="144"/>
      <c r="E97" s="143"/>
      <c r="F97" s="143"/>
      <c r="G97" s="145"/>
      <c r="H97" s="146">
        <f t="shared" ref="H97:AC97" si="103">G97</f>
        <v>0</v>
      </c>
      <c r="I97" s="146">
        <f t="shared" si="103"/>
        <v>0</v>
      </c>
      <c r="J97" s="146">
        <f t="shared" si="103"/>
        <v>0</v>
      </c>
      <c r="K97" s="146">
        <f t="shared" si="103"/>
        <v>0</v>
      </c>
      <c r="L97" s="146">
        <f t="shared" si="103"/>
        <v>0</v>
      </c>
      <c r="M97" s="146">
        <f t="shared" si="103"/>
        <v>0</v>
      </c>
      <c r="N97" s="146">
        <f t="shared" si="103"/>
        <v>0</v>
      </c>
      <c r="O97" s="146">
        <f t="shared" si="103"/>
        <v>0</v>
      </c>
      <c r="P97" s="146">
        <f t="shared" si="103"/>
        <v>0</v>
      </c>
      <c r="Q97" s="146">
        <f t="shared" si="103"/>
        <v>0</v>
      </c>
      <c r="R97" s="146">
        <f t="shared" si="103"/>
        <v>0</v>
      </c>
      <c r="S97" s="146">
        <f t="shared" si="103"/>
        <v>0</v>
      </c>
      <c r="T97" s="146">
        <f t="shared" si="103"/>
        <v>0</v>
      </c>
      <c r="U97" s="146">
        <f t="shared" si="103"/>
        <v>0</v>
      </c>
      <c r="V97" s="146">
        <f t="shared" si="103"/>
        <v>0</v>
      </c>
      <c r="W97" s="146">
        <f t="shared" si="103"/>
        <v>0</v>
      </c>
      <c r="X97" s="146">
        <f t="shared" si="103"/>
        <v>0</v>
      </c>
      <c r="Y97" s="146">
        <f t="shared" si="103"/>
        <v>0</v>
      </c>
      <c r="Z97" s="146">
        <f t="shared" si="103"/>
        <v>0</v>
      </c>
      <c r="AA97" s="146">
        <f t="shared" si="103"/>
        <v>0</v>
      </c>
      <c r="AB97" s="146">
        <f t="shared" si="103"/>
        <v>0</v>
      </c>
      <c r="AC97" s="146">
        <f t="shared" si="103"/>
        <v>0</v>
      </c>
    </row>
    <row r="98" spans="1:29" ht="13.2" x14ac:dyDescent="0.25">
      <c r="A98" s="143"/>
      <c r="B98" s="143"/>
      <c r="C98" s="143"/>
      <c r="D98" s="144"/>
      <c r="E98" s="143"/>
      <c r="F98" s="143"/>
      <c r="G98" s="145"/>
      <c r="H98" s="146">
        <f t="shared" ref="H98:AC98" si="104">G98</f>
        <v>0</v>
      </c>
      <c r="I98" s="146">
        <f t="shared" si="104"/>
        <v>0</v>
      </c>
      <c r="J98" s="146">
        <f t="shared" si="104"/>
        <v>0</v>
      </c>
      <c r="K98" s="146">
        <f t="shared" si="104"/>
        <v>0</v>
      </c>
      <c r="L98" s="146">
        <f t="shared" si="104"/>
        <v>0</v>
      </c>
      <c r="M98" s="146">
        <f t="shared" si="104"/>
        <v>0</v>
      </c>
      <c r="N98" s="146">
        <f t="shared" si="104"/>
        <v>0</v>
      </c>
      <c r="O98" s="146">
        <f t="shared" si="104"/>
        <v>0</v>
      </c>
      <c r="P98" s="146">
        <f t="shared" si="104"/>
        <v>0</v>
      </c>
      <c r="Q98" s="146">
        <f t="shared" si="104"/>
        <v>0</v>
      </c>
      <c r="R98" s="146">
        <f t="shared" si="104"/>
        <v>0</v>
      </c>
      <c r="S98" s="146">
        <f t="shared" si="104"/>
        <v>0</v>
      </c>
      <c r="T98" s="146">
        <f t="shared" si="104"/>
        <v>0</v>
      </c>
      <c r="U98" s="146">
        <f t="shared" si="104"/>
        <v>0</v>
      </c>
      <c r="V98" s="146">
        <f t="shared" si="104"/>
        <v>0</v>
      </c>
      <c r="W98" s="146">
        <f t="shared" si="104"/>
        <v>0</v>
      </c>
      <c r="X98" s="146">
        <f t="shared" si="104"/>
        <v>0</v>
      </c>
      <c r="Y98" s="146">
        <f t="shared" si="104"/>
        <v>0</v>
      </c>
      <c r="Z98" s="146">
        <f t="shared" si="104"/>
        <v>0</v>
      </c>
      <c r="AA98" s="146">
        <f t="shared" si="104"/>
        <v>0</v>
      </c>
      <c r="AB98" s="146">
        <f t="shared" si="104"/>
        <v>0</v>
      </c>
      <c r="AC98" s="146">
        <f t="shared" si="104"/>
        <v>0</v>
      </c>
    </row>
    <row r="99" spans="1:29" ht="13.2" x14ac:dyDescent="0.25">
      <c r="A99" s="143"/>
      <c r="B99" s="143"/>
      <c r="C99" s="143"/>
      <c r="D99" s="144"/>
      <c r="E99" s="143"/>
      <c r="F99" s="143"/>
      <c r="G99" s="145"/>
      <c r="H99" s="146">
        <f t="shared" ref="H99:AC99" si="105">G99</f>
        <v>0</v>
      </c>
      <c r="I99" s="146">
        <f t="shared" si="105"/>
        <v>0</v>
      </c>
      <c r="J99" s="146">
        <f t="shared" si="105"/>
        <v>0</v>
      </c>
      <c r="K99" s="146">
        <f t="shared" si="105"/>
        <v>0</v>
      </c>
      <c r="L99" s="146">
        <f t="shared" si="105"/>
        <v>0</v>
      </c>
      <c r="M99" s="146">
        <f t="shared" si="105"/>
        <v>0</v>
      </c>
      <c r="N99" s="146">
        <f t="shared" si="105"/>
        <v>0</v>
      </c>
      <c r="O99" s="146">
        <f t="shared" si="105"/>
        <v>0</v>
      </c>
      <c r="P99" s="146">
        <f t="shared" si="105"/>
        <v>0</v>
      </c>
      <c r="Q99" s="146">
        <f t="shared" si="105"/>
        <v>0</v>
      </c>
      <c r="R99" s="146">
        <f t="shared" si="105"/>
        <v>0</v>
      </c>
      <c r="S99" s="146">
        <f t="shared" si="105"/>
        <v>0</v>
      </c>
      <c r="T99" s="146">
        <f t="shared" si="105"/>
        <v>0</v>
      </c>
      <c r="U99" s="146">
        <f t="shared" si="105"/>
        <v>0</v>
      </c>
      <c r="V99" s="146">
        <f t="shared" si="105"/>
        <v>0</v>
      </c>
      <c r="W99" s="146">
        <f t="shared" si="105"/>
        <v>0</v>
      </c>
      <c r="X99" s="146">
        <f t="shared" si="105"/>
        <v>0</v>
      </c>
      <c r="Y99" s="146">
        <f t="shared" si="105"/>
        <v>0</v>
      </c>
      <c r="Z99" s="146">
        <f t="shared" si="105"/>
        <v>0</v>
      </c>
      <c r="AA99" s="146">
        <f t="shared" si="105"/>
        <v>0</v>
      </c>
      <c r="AB99" s="146">
        <f t="shared" si="105"/>
        <v>0</v>
      </c>
      <c r="AC99" s="146">
        <f t="shared" si="105"/>
        <v>0</v>
      </c>
    </row>
    <row r="100" spans="1:29" ht="13.2" x14ac:dyDescent="0.25">
      <c r="A100" s="143"/>
      <c r="B100" s="143"/>
      <c r="C100" s="143"/>
      <c r="D100" s="144"/>
      <c r="E100" s="143"/>
      <c r="F100" s="143"/>
      <c r="G100" s="145"/>
      <c r="H100" s="146">
        <f t="shared" ref="H100:AC100" si="106">G100</f>
        <v>0</v>
      </c>
      <c r="I100" s="146">
        <f t="shared" si="106"/>
        <v>0</v>
      </c>
      <c r="J100" s="146">
        <f t="shared" si="106"/>
        <v>0</v>
      </c>
      <c r="K100" s="146">
        <f t="shared" si="106"/>
        <v>0</v>
      </c>
      <c r="L100" s="146">
        <f t="shared" si="106"/>
        <v>0</v>
      </c>
      <c r="M100" s="146">
        <f t="shared" si="106"/>
        <v>0</v>
      </c>
      <c r="N100" s="146">
        <f t="shared" si="106"/>
        <v>0</v>
      </c>
      <c r="O100" s="146">
        <f t="shared" si="106"/>
        <v>0</v>
      </c>
      <c r="P100" s="146">
        <f t="shared" si="106"/>
        <v>0</v>
      </c>
      <c r="Q100" s="146">
        <f t="shared" si="106"/>
        <v>0</v>
      </c>
      <c r="R100" s="146">
        <f t="shared" si="106"/>
        <v>0</v>
      </c>
      <c r="S100" s="146">
        <f t="shared" si="106"/>
        <v>0</v>
      </c>
      <c r="T100" s="146">
        <f t="shared" si="106"/>
        <v>0</v>
      </c>
      <c r="U100" s="146">
        <f t="shared" si="106"/>
        <v>0</v>
      </c>
      <c r="V100" s="146">
        <f t="shared" si="106"/>
        <v>0</v>
      </c>
      <c r="W100" s="146">
        <f t="shared" si="106"/>
        <v>0</v>
      </c>
      <c r="X100" s="146">
        <f t="shared" si="106"/>
        <v>0</v>
      </c>
      <c r="Y100" s="146">
        <f t="shared" si="106"/>
        <v>0</v>
      </c>
      <c r="Z100" s="146">
        <f t="shared" si="106"/>
        <v>0</v>
      </c>
      <c r="AA100" s="146">
        <f t="shared" si="106"/>
        <v>0</v>
      </c>
      <c r="AB100" s="146">
        <f t="shared" si="106"/>
        <v>0</v>
      </c>
      <c r="AC100" s="146">
        <f t="shared" si="106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226" t="str">
        <f>Calculations!A45</f>
        <v>&lt;Your Team Name Here&gt;
Team Member Burndown Chart -- Embrace Reality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</row>
    <row r="2" spans="1:24" x14ac:dyDescent="0.25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</row>
    <row r="3" spans="1:24" x14ac:dyDescent="0.25">
      <c r="A3" s="121" t="s">
        <v>88</v>
      </c>
      <c r="B3" s="122">
        <f>NumberOfCalendarDaysInSprint * NumberOfWorkHoursInDay</f>
        <v>66</v>
      </c>
      <c r="C3" s="122">
        <f t="shared" ref="C3:X3" si="0">B3 - NumberOfWorkHoursInDay</f>
        <v>63</v>
      </c>
      <c r="D3" s="122">
        <f t="shared" si="0"/>
        <v>60</v>
      </c>
      <c r="E3" s="122">
        <f t="shared" si="0"/>
        <v>57</v>
      </c>
      <c r="F3" s="122">
        <f t="shared" si="0"/>
        <v>54</v>
      </c>
      <c r="G3" s="122">
        <f t="shared" si="0"/>
        <v>51</v>
      </c>
      <c r="H3" s="122">
        <f t="shared" si="0"/>
        <v>48</v>
      </c>
      <c r="I3" s="122">
        <f t="shared" si="0"/>
        <v>45</v>
      </c>
      <c r="J3" s="122">
        <f t="shared" si="0"/>
        <v>42</v>
      </c>
      <c r="K3" s="122">
        <f t="shared" si="0"/>
        <v>39</v>
      </c>
      <c r="L3" s="122">
        <f t="shared" si="0"/>
        <v>36</v>
      </c>
      <c r="M3" s="122">
        <f t="shared" si="0"/>
        <v>33</v>
      </c>
      <c r="N3" s="122">
        <f t="shared" si="0"/>
        <v>30</v>
      </c>
      <c r="O3" s="122">
        <f t="shared" si="0"/>
        <v>27</v>
      </c>
      <c r="P3" s="122">
        <f t="shared" si="0"/>
        <v>24</v>
      </c>
      <c r="Q3" s="122">
        <f t="shared" si="0"/>
        <v>21</v>
      </c>
      <c r="R3" s="122">
        <f t="shared" si="0"/>
        <v>18</v>
      </c>
      <c r="S3" s="122">
        <f t="shared" si="0"/>
        <v>15</v>
      </c>
      <c r="T3" s="122">
        <f t="shared" si="0"/>
        <v>12</v>
      </c>
      <c r="U3" s="122">
        <f t="shared" si="0"/>
        <v>9</v>
      </c>
      <c r="V3" s="122">
        <f t="shared" si="0"/>
        <v>6</v>
      </c>
      <c r="W3" s="122">
        <f t="shared" si="0"/>
        <v>3</v>
      </c>
      <c r="X3" s="122">
        <f t="shared" si="0"/>
        <v>0</v>
      </c>
    </row>
    <row r="4" spans="1:24" x14ac:dyDescent="0.25">
      <c r="A4" s="123" t="s">
        <v>89</v>
      </c>
      <c r="B4" s="124">
        <v>0</v>
      </c>
      <c r="C4" s="124">
        <f t="shared" ref="C4:X4" si="1">B4+1</f>
        <v>1</v>
      </c>
      <c r="D4" s="124">
        <f t="shared" si="1"/>
        <v>2</v>
      </c>
      <c r="E4" s="124">
        <f t="shared" si="1"/>
        <v>3</v>
      </c>
      <c r="F4" s="124">
        <f t="shared" si="1"/>
        <v>4</v>
      </c>
      <c r="G4" s="124">
        <f t="shared" si="1"/>
        <v>5</v>
      </c>
      <c r="H4" s="124">
        <f t="shared" si="1"/>
        <v>6</v>
      </c>
      <c r="I4" s="124">
        <f t="shared" si="1"/>
        <v>7</v>
      </c>
      <c r="J4" s="124">
        <f t="shared" si="1"/>
        <v>8</v>
      </c>
      <c r="K4" s="124">
        <f t="shared" si="1"/>
        <v>9</v>
      </c>
      <c r="L4" s="124">
        <f t="shared" si="1"/>
        <v>10</v>
      </c>
      <c r="M4" s="124">
        <f t="shared" si="1"/>
        <v>11</v>
      </c>
      <c r="N4" s="124">
        <f t="shared" si="1"/>
        <v>12</v>
      </c>
      <c r="O4" s="124">
        <f t="shared" si="1"/>
        <v>13</v>
      </c>
      <c r="P4" s="124">
        <f t="shared" si="1"/>
        <v>14</v>
      </c>
      <c r="Q4" s="124">
        <f t="shared" si="1"/>
        <v>15</v>
      </c>
      <c r="R4" s="124">
        <f t="shared" si="1"/>
        <v>16</v>
      </c>
      <c r="S4" s="124">
        <f t="shared" si="1"/>
        <v>17</v>
      </c>
      <c r="T4" s="124">
        <f t="shared" si="1"/>
        <v>18</v>
      </c>
      <c r="U4" s="124">
        <f t="shared" si="1"/>
        <v>19</v>
      </c>
      <c r="V4" s="124">
        <f t="shared" si="1"/>
        <v>20</v>
      </c>
      <c r="W4" s="124">
        <f t="shared" si="1"/>
        <v>21</v>
      </c>
      <c r="X4" s="124">
        <f t="shared" si="1"/>
        <v>22</v>
      </c>
    </row>
    <row r="5" spans="1:24" ht="60" customHeight="1" thickBot="1" x14ac:dyDescent="0.3">
      <c r="A5" s="125" t="s">
        <v>41</v>
      </c>
      <c r="B5" s="126" t="s">
        <v>90</v>
      </c>
      <c r="C5" s="127">
        <f>SprintStartDate</f>
        <v>44636</v>
      </c>
      <c r="D5" s="127">
        <f t="shared" ref="D5:X5" si="2">C5+1</f>
        <v>44637</v>
      </c>
      <c r="E5" s="127">
        <f t="shared" si="2"/>
        <v>44638</v>
      </c>
      <c r="F5" s="127">
        <f t="shared" si="2"/>
        <v>44639</v>
      </c>
      <c r="G5" s="127">
        <f t="shared" si="2"/>
        <v>44640</v>
      </c>
      <c r="H5" s="127">
        <f t="shared" si="2"/>
        <v>44641</v>
      </c>
      <c r="I5" s="127">
        <f t="shared" si="2"/>
        <v>44642</v>
      </c>
      <c r="J5" s="127">
        <f t="shared" si="2"/>
        <v>44643</v>
      </c>
      <c r="K5" s="127">
        <f t="shared" si="2"/>
        <v>44644</v>
      </c>
      <c r="L5" s="127">
        <f t="shared" si="2"/>
        <v>44645</v>
      </c>
      <c r="M5" s="127">
        <f t="shared" si="2"/>
        <v>44646</v>
      </c>
      <c r="N5" s="127">
        <f t="shared" si="2"/>
        <v>44647</v>
      </c>
      <c r="O5" s="127">
        <f t="shared" si="2"/>
        <v>44648</v>
      </c>
      <c r="P5" s="127">
        <f t="shared" si="2"/>
        <v>44649</v>
      </c>
      <c r="Q5" s="127">
        <f t="shared" si="2"/>
        <v>44650</v>
      </c>
      <c r="R5" s="127">
        <f t="shared" si="2"/>
        <v>44651</v>
      </c>
      <c r="S5" s="127">
        <f t="shared" si="2"/>
        <v>44652</v>
      </c>
      <c r="T5" s="127">
        <f t="shared" si="2"/>
        <v>44653</v>
      </c>
      <c r="U5" s="127">
        <f t="shared" si="2"/>
        <v>44654</v>
      </c>
      <c r="V5" s="127">
        <f t="shared" si="2"/>
        <v>44655</v>
      </c>
      <c r="W5" s="127">
        <f t="shared" si="2"/>
        <v>44656</v>
      </c>
      <c r="X5" s="127">
        <f t="shared" si="2"/>
        <v>44657</v>
      </c>
    </row>
    <row r="6" spans="1:24" x14ac:dyDescent="0.25">
      <c r="A6" s="128" t="str">
        <f>Planning!$C$9</f>
        <v>JR</v>
      </c>
      <c r="B6" s="129">
        <f>DailyWorkRemaining( 'Sprint Backlog'!$D$5:$D$65536, $A6, 'Sprint Backlog'!G$5:G$65536 )</f>
        <v>20</v>
      </c>
      <c r="C6" s="129">
        <f>DailyWorkRemaining( 'Sprint Backlog'!$D$5:$D$65536, $A6, 'Sprint Backlog'!H$5:H$65536 )</f>
        <v>20</v>
      </c>
      <c r="D6" s="129">
        <f>DailyWorkRemaining( 'Sprint Backlog'!$D$5:$D$65536, $A6, 'Sprint Backlog'!I$5:I$65536 )</f>
        <v>20</v>
      </c>
      <c r="E6" s="129">
        <f>DailyWorkRemaining( 'Sprint Backlog'!$D$5:$D$65536, $A6, 'Sprint Backlog'!J$5:J$65536 )</f>
        <v>20</v>
      </c>
      <c r="F6" s="129">
        <f>DailyWorkRemaining( 'Sprint Backlog'!$D$5:$D$65536, $A6, 'Sprint Backlog'!K$5:K$65536 )</f>
        <v>20</v>
      </c>
      <c r="G6" s="129">
        <f>DailyWorkRemaining( 'Sprint Backlog'!$D$5:$D$65536, $A6, 'Sprint Backlog'!L$5:L$65536 )</f>
        <v>20</v>
      </c>
      <c r="H6" s="129">
        <f>DailyWorkRemaining( 'Sprint Backlog'!$D$5:$D$65536, $A6, 'Sprint Backlog'!M$5:M$65536 )</f>
        <v>20</v>
      </c>
      <c r="I6" s="129">
        <f>DailyWorkRemaining( 'Sprint Backlog'!$D$5:$D$65536, $A6, 'Sprint Backlog'!N$5:N$65536 )</f>
        <v>20</v>
      </c>
      <c r="J6" s="129">
        <f>DailyWorkRemaining( 'Sprint Backlog'!$D$5:$D$65536, $A6, 'Sprint Backlog'!O$5:O$65536 )</f>
        <v>19</v>
      </c>
      <c r="K6" s="129">
        <f>DailyWorkRemaining( 'Sprint Backlog'!$D$5:$D$65536, $A6, 'Sprint Backlog'!P$5:P$65536 )</f>
        <v>19</v>
      </c>
      <c r="L6" s="129">
        <f>DailyWorkRemaining( 'Sprint Backlog'!$D$5:$D$65536, $A6, 'Sprint Backlog'!Q$5:Q$65536 )</f>
        <v>19</v>
      </c>
      <c r="M6" s="129">
        <f>DailyWorkRemaining( 'Sprint Backlog'!$D$5:$D$65536, $A6, 'Sprint Backlog'!R$5:R$65536 )</f>
        <v>19</v>
      </c>
      <c r="N6" s="129">
        <f>DailyWorkRemaining( 'Sprint Backlog'!$D$5:$D$65536, $A6, 'Sprint Backlog'!S$5:S$65536 )</f>
        <v>19</v>
      </c>
      <c r="O6" s="129">
        <f>DailyWorkRemaining( 'Sprint Backlog'!$D$5:$D$65536, $A6, 'Sprint Backlog'!T$5:T$65536 )</f>
        <v>19</v>
      </c>
      <c r="P6" s="129">
        <f>DailyWorkRemaining( 'Sprint Backlog'!$D$5:$D$65536, $A6, 'Sprint Backlog'!U$5:U$65536 )</f>
        <v>19</v>
      </c>
      <c r="Q6" s="129">
        <f>DailyWorkRemaining( 'Sprint Backlog'!$D$5:$D$65536, $A6, 'Sprint Backlog'!V$5:V$65536 )</f>
        <v>19</v>
      </c>
      <c r="R6" s="129">
        <f>DailyWorkRemaining( 'Sprint Backlog'!$D$5:$D$65536, $A6, 'Sprint Backlog'!W$5:W$65536 )</f>
        <v>19</v>
      </c>
      <c r="S6" s="129">
        <f>DailyWorkRemaining( 'Sprint Backlog'!$D$5:$D$65536, $A6, 'Sprint Backlog'!X$5:X$65536 )</f>
        <v>19</v>
      </c>
      <c r="T6" s="129">
        <f>DailyWorkRemaining( 'Sprint Backlog'!$D$5:$D$65536, $A6, 'Sprint Backlog'!Y$5:Y$65536 )</f>
        <v>19</v>
      </c>
      <c r="U6" s="129">
        <f>DailyWorkRemaining( 'Sprint Backlog'!$D$5:$D$65536, $A6, 'Sprint Backlog'!Z$5:Z$65536 )</f>
        <v>19</v>
      </c>
      <c r="V6" s="129">
        <f>DailyWorkRemaining( 'Sprint Backlog'!$D$5:$D$65536, $A6, 'Sprint Backlog'!AA$5:AA$65536 )</f>
        <v>19</v>
      </c>
      <c r="W6" s="129">
        <f>DailyWorkRemaining( 'Sprint Backlog'!$D$5:$D$65536, $A6, 'Sprint Backlog'!AB$5:AB$65536 )</f>
        <v>19</v>
      </c>
      <c r="X6" s="129">
        <f>DailyWorkRemaining( 'Sprint Backlog'!$D$5:$D$65536, $A6, 'Sprint Backlog'!AC$5:AC$65536 )</f>
        <v>19</v>
      </c>
    </row>
    <row r="7" spans="1:24" x14ac:dyDescent="0.25">
      <c r="A7" s="130" t="str">
        <f>Planning!$D$9</f>
        <v>AT</v>
      </c>
      <c r="B7" s="131">
        <f>DailyWorkRemaining( 'Sprint Backlog'!$D$5:$D$65536, $A7, 'Sprint Backlog'!G$5:G$65536 )</f>
        <v>20</v>
      </c>
      <c r="C7" s="131">
        <f>DailyWorkRemaining( 'Sprint Backlog'!$D$5:$D$65536, $A7, 'Sprint Backlog'!H$5:H$65536 )</f>
        <v>20</v>
      </c>
      <c r="D7" s="131">
        <f>DailyWorkRemaining( 'Sprint Backlog'!$D$5:$D$65536, $A7, 'Sprint Backlog'!I$5:I$65536 )</f>
        <v>20</v>
      </c>
      <c r="E7" s="131">
        <f>DailyWorkRemaining( 'Sprint Backlog'!$D$5:$D$65536, $A7, 'Sprint Backlog'!J$5:J$65536 )</f>
        <v>20</v>
      </c>
      <c r="F7" s="131">
        <f>DailyWorkRemaining( 'Sprint Backlog'!$D$5:$D$65536, $A7, 'Sprint Backlog'!K$5:K$65536 )</f>
        <v>20</v>
      </c>
      <c r="G7" s="131">
        <f>DailyWorkRemaining( 'Sprint Backlog'!$D$5:$D$65536, $A7, 'Sprint Backlog'!L$5:L$65536 )</f>
        <v>20</v>
      </c>
      <c r="H7" s="131">
        <f>DailyWorkRemaining( 'Sprint Backlog'!$D$5:$D$65536, $A7, 'Sprint Backlog'!M$5:M$65536 )</f>
        <v>20</v>
      </c>
      <c r="I7" s="131">
        <f>DailyWorkRemaining( 'Sprint Backlog'!$D$5:$D$65536, $A7, 'Sprint Backlog'!N$5:N$65536 )</f>
        <v>20</v>
      </c>
      <c r="J7" s="131">
        <f>DailyWorkRemaining( 'Sprint Backlog'!$D$5:$D$65536, $A7, 'Sprint Backlog'!O$5:O$65536 )</f>
        <v>20</v>
      </c>
      <c r="K7" s="131">
        <f>DailyWorkRemaining( 'Sprint Backlog'!$D$5:$D$65536, $A7, 'Sprint Backlog'!P$5:P$65536 )</f>
        <v>20</v>
      </c>
      <c r="L7" s="131">
        <f>DailyWorkRemaining( 'Sprint Backlog'!$D$5:$D$65536, $A7, 'Sprint Backlog'!Q$5:Q$65536 )</f>
        <v>20</v>
      </c>
      <c r="M7" s="131">
        <f>DailyWorkRemaining( 'Sprint Backlog'!$D$5:$D$65536, $A7, 'Sprint Backlog'!R$5:R$65536 )</f>
        <v>20</v>
      </c>
      <c r="N7" s="131">
        <f>DailyWorkRemaining( 'Sprint Backlog'!$D$5:$D$65536, $A7, 'Sprint Backlog'!S$5:S$65536 )</f>
        <v>20</v>
      </c>
      <c r="O7" s="131">
        <f>DailyWorkRemaining( 'Sprint Backlog'!$D$5:$D$65536, $A7, 'Sprint Backlog'!T$5:T$65536 )</f>
        <v>20</v>
      </c>
      <c r="P7" s="131">
        <f>DailyWorkRemaining( 'Sprint Backlog'!$D$5:$D$65536, $A7, 'Sprint Backlog'!U$5:U$65536 )</f>
        <v>20</v>
      </c>
      <c r="Q7" s="131">
        <f>DailyWorkRemaining( 'Sprint Backlog'!$D$5:$D$65536, $A7, 'Sprint Backlog'!V$5:V$65536 )</f>
        <v>20</v>
      </c>
      <c r="R7" s="131">
        <f>DailyWorkRemaining( 'Sprint Backlog'!$D$5:$D$65536, $A7, 'Sprint Backlog'!W$5:W$65536 )</f>
        <v>20</v>
      </c>
      <c r="S7" s="131">
        <f>DailyWorkRemaining( 'Sprint Backlog'!$D$5:$D$65536, $A7, 'Sprint Backlog'!X$5:X$65536 )</f>
        <v>20</v>
      </c>
      <c r="T7" s="131">
        <f>DailyWorkRemaining( 'Sprint Backlog'!$D$5:$D$65536, $A7, 'Sprint Backlog'!Y$5:Y$65536 )</f>
        <v>20</v>
      </c>
      <c r="U7" s="131">
        <f>DailyWorkRemaining( 'Sprint Backlog'!$D$5:$D$65536, $A7, 'Sprint Backlog'!Z$5:Z$65536 )</f>
        <v>20</v>
      </c>
      <c r="V7" s="131">
        <f>DailyWorkRemaining( 'Sprint Backlog'!$D$5:$D$65536, $A7, 'Sprint Backlog'!AA$5:AA$65536 )</f>
        <v>20</v>
      </c>
      <c r="W7" s="131">
        <f>DailyWorkRemaining( 'Sprint Backlog'!$D$5:$D$65536, $A7, 'Sprint Backlog'!AB$5:AB$65536 )</f>
        <v>20</v>
      </c>
      <c r="X7" s="131">
        <f>DailyWorkRemaining( 'Sprint Backlog'!$D$5:$D$65536, $A7, 'Sprint Backlog'!AC$5:AC$65536 )</f>
        <v>20</v>
      </c>
    </row>
    <row r="8" spans="1:24" x14ac:dyDescent="0.25">
      <c r="A8" s="132" t="str">
        <f>Planning!$E$9</f>
        <v>EM</v>
      </c>
      <c r="B8" s="133">
        <f>DailyWorkRemaining( 'Sprint Backlog'!$D$5:$D$65536, $A8, 'Sprint Backlog'!G$5:G$65536 )</f>
        <v>20</v>
      </c>
      <c r="C8" s="133">
        <f>DailyWorkRemaining( 'Sprint Backlog'!$D$5:$D$65536, $A8, 'Sprint Backlog'!H$5:H$65536 )</f>
        <v>20</v>
      </c>
      <c r="D8" s="133">
        <f>DailyWorkRemaining( 'Sprint Backlog'!$D$5:$D$65536, $A8, 'Sprint Backlog'!I$5:I$65536 )</f>
        <v>20</v>
      </c>
      <c r="E8" s="133">
        <f>DailyWorkRemaining( 'Sprint Backlog'!$D$5:$D$65536, $A8, 'Sprint Backlog'!J$5:J$65536 )</f>
        <v>20</v>
      </c>
      <c r="F8" s="133">
        <f>DailyWorkRemaining( 'Sprint Backlog'!$D$5:$D$65536, $A8, 'Sprint Backlog'!K$5:K$65536 )</f>
        <v>20</v>
      </c>
      <c r="G8" s="133">
        <f>DailyWorkRemaining( 'Sprint Backlog'!$D$5:$D$65536, $A8, 'Sprint Backlog'!L$5:L$65536 )</f>
        <v>20</v>
      </c>
      <c r="H8" s="133">
        <f>DailyWorkRemaining( 'Sprint Backlog'!$D$5:$D$65536, $A8, 'Sprint Backlog'!M$5:M$65536 )</f>
        <v>20</v>
      </c>
      <c r="I8" s="133">
        <f>DailyWorkRemaining( 'Sprint Backlog'!$D$5:$D$65536, $A8, 'Sprint Backlog'!N$5:N$65536 )</f>
        <v>20</v>
      </c>
      <c r="J8" s="133">
        <f>DailyWorkRemaining( 'Sprint Backlog'!$D$5:$D$65536, $A8, 'Sprint Backlog'!O$5:O$65536 )</f>
        <v>20</v>
      </c>
      <c r="K8" s="133">
        <f>DailyWorkRemaining( 'Sprint Backlog'!$D$5:$D$65536, $A8, 'Sprint Backlog'!P$5:P$65536 )</f>
        <v>20</v>
      </c>
      <c r="L8" s="133">
        <f>DailyWorkRemaining( 'Sprint Backlog'!$D$5:$D$65536, $A8, 'Sprint Backlog'!Q$5:Q$65536 )</f>
        <v>20</v>
      </c>
      <c r="M8" s="133">
        <f>DailyWorkRemaining( 'Sprint Backlog'!$D$5:$D$65536, $A8, 'Sprint Backlog'!R$5:R$65536 )</f>
        <v>20</v>
      </c>
      <c r="N8" s="133">
        <f>DailyWorkRemaining( 'Sprint Backlog'!$D$5:$D$65536, $A8, 'Sprint Backlog'!S$5:S$65536 )</f>
        <v>20</v>
      </c>
      <c r="O8" s="133">
        <f>DailyWorkRemaining( 'Sprint Backlog'!$D$5:$D$65536, $A8, 'Sprint Backlog'!T$5:T$65536 )</f>
        <v>20</v>
      </c>
      <c r="P8" s="133">
        <f>DailyWorkRemaining( 'Sprint Backlog'!$D$5:$D$65536, $A8, 'Sprint Backlog'!U$5:U$65536 )</f>
        <v>20</v>
      </c>
      <c r="Q8" s="133">
        <f>DailyWorkRemaining( 'Sprint Backlog'!$D$5:$D$65536, $A8, 'Sprint Backlog'!V$5:V$65536 )</f>
        <v>20</v>
      </c>
      <c r="R8" s="133">
        <f>DailyWorkRemaining( 'Sprint Backlog'!$D$5:$D$65536, $A8, 'Sprint Backlog'!W$5:W$65536 )</f>
        <v>20</v>
      </c>
      <c r="S8" s="133">
        <f>DailyWorkRemaining( 'Sprint Backlog'!$D$5:$D$65536, $A8, 'Sprint Backlog'!X$5:X$65536 )</f>
        <v>20</v>
      </c>
      <c r="T8" s="133">
        <f>DailyWorkRemaining( 'Sprint Backlog'!$D$5:$D$65536, $A8, 'Sprint Backlog'!Y$5:Y$65536 )</f>
        <v>20</v>
      </c>
      <c r="U8" s="133">
        <f>DailyWorkRemaining( 'Sprint Backlog'!$D$5:$D$65536, $A8, 'Sprint Backlog'!Z$5:Z$65536 )</f>
        <v>20</v>
      </c>
      <c r="V8" s="133">
        <f>DailyWorkRemaining( 'Sprint Backlog'!$D$5:$D$65536, $A8, 'Sprint Backlog'!AA$5:AA$65536 )</f>
        <v>20</v>
      </c>
      <c r="W8" s="133">
        <f>DailyWorkRemaining( 'Sprint Backlog'!$D$5:$D$65536, $A8, 'Sprint Backlog'!AB$5:AB$65536 )</f>
        <v>20</v>
      </c>
      <c r="X8" s="133">
        <f>DailyWorkRemaining( 'Sprint Backlog'!$D$5:$D$65536, $A8, 'Sprint Backlog'!AC$5:AC$65536 )</f>
        <v>20</v>
      </c>
    </row>
    <row r="9" spans="1:24" x14ac:dyDescent="0.25">
      <c r="A9" s="130">
        <f>Planning!$F$9</f>
        <v>0</v>
      </c>
      <c r="B9" s="131">
        <f>DailyWorkRemaining( 'Sprint Backlog'!$D$5:$D$65536, $A9, 'Sprint Backlog'!G$5:G$65536 )</f>
        <v>0</v>
      </c>
      <c r="C9" s="131">
        <f>DailyWorkRemaining( 'Sprint Backlog'!$D$5:$D$65536, $A9, 'Sprint Backlog'!H$5:H$65536 )</f>
        <v>0</v>
      </c>
      <c r="D9" s="131">
        <f>DailyWorkRemaining( 'Sprint Backlog'!$D$5:$D$65536, $A9, 'Sprint Backlog'!I$5:I$65536 )</f>
        <v>0</v>
      </c>
      <c r="E9" s="131">
        <f>DailyWorkRemaining( 'Sprint Backlog'!$D$5:$D$65536, $A9, 'Sprint Backlog'!J$5:J$65536 )</f>
        <v>0</v>
      </c>
      <c r="F9" s="131">
        <f>DailyWorkRemaining( 'Sprint Backlog'!$D$5:$D$65536, $A9, 'Sprint Backlog'!K$5:K$65536 )</f>
        <v>0</v>
      </c>
      <c r="G9" s="131">
        <f>DailyWorkRemaining( 'Sprint Backlog'!$D$5:$D$65536, $A9, 'Sprint Backlog'!L$5:L$65536 )</f>
        <v>0</v>
      </c>
      <c r="H9" s="131">
        <f>DailyWorkRemaining( 'Sprint Backlog'!$D$5:$D$65536, $A9, 'Sprint Backlog'!M$5:M$65536 )</f>
        <v>0</v>
      </c>
      <c r="I9" s="131">
        <f>DailyWorkRemaining( 'Sprint Backlog'!$D$5:$D$65536, $A9, 'Sprint Backlog'!N$5:N$65536 )</f>
        <v>0</v>
      </c>
      <c r="J9" s="131">
        <f>DailyWorkRemaining( 'Sprint Backlog'!$D$5:$D$65536, $A9, 'Sprint Backlog'!O$5:O$65536 )</f>
        <v>0</v>
      </c>
      <c r="K9" s="131">
        <f>DailyWorkRemaining( 'Sprint Backlog'!$D$5:$D$65536, $A9, 'Sprint Backlog'!P$5:P$65536 )</f>
        <v>0</v>
      </c>
      <c r="L9" s="131">
        <f>DailyWorkRemaining( 'Sprint Backlog'!$D$5:$D$65536, $A9, 'Sprint Backlog'!Q$5:Q$65536 )</f>
        <v>0</v>
      </c>
      <c r="M9" s="131">
        <f>DailyWorkRemaining( 'Sprint Backlog'!$D$5:$D$65536, $A9, 'Sprint Backlog'!R$5:R$65536 )</f>
        <v>0</v>
      </c>
      <c r="N9" s="131">
        <f>DailyWorkRemaining( 'Sprint Backlog'!$D$5:$D$65536, $A9, 'Sprint Backlog'!S$5:S$65536 )</f>
        <v>0</v>
      </c>
      <c r="O9" s="131">
        <f>DailyWorkRemaining( 'Sprint Backlog'!$D$5:$D$65536, $A9, 'Sprint Backlog'!T$5:T$65536 )</f>
        <v>0</v>
      </c>
      <c r="P9" s="131">
        <f>DailyWorkRemaining( 'Sprint Backlog'!$D$5:$D$65536, $A9, 'Sprint Backlog'!U$5:U$65536 )</f>
        <v>0</v>
      </c>
      <c r="Q9" s="131">
        <f>DailyWorkRemaining( 'Sprint Backlog'!$D$5:$D$65536, $A9, 'Sprint Backlog'!V$5:V$65536 )</f>
        <v>0</v>
      </c>
      <c r="R9" s="131">
        <f>DailyWorkRemaining( 'Sprint Backlog'!$D$5:$D$65536, $A9, 'Sprint Backlog'!W$5:W$65536 )</f>
        <v>0</v>
      </c>
      <c r="S9" s="131">
        <f>DailyWorkRemaining( 'Sprint Backlog'!$D$5:$D$65536, $A9, 'Sprint Backlog'!X$5:X$65536 )</f>
        <v>0</v>
      </c>
      <c r="T9" s="131">
        <f>DailyWorkRemaining( 'Sprint Backlog'!$D$5:$D$65536, $A9, 'Sprint Backlog'!Y$5:Y$65536 )</f>
        <v>0</v>
      </c>
      <c r="U9" s="131">
        <f>DailyWorkRemaining( 'Sprint Backlog'!$D$5:$D$65536, $A9, 'Sprint Backlog'!Z$5:Z$65536 )</f>
        <v>0</v>
      </c>
      <c r="V9" s="131">
        <f>DailyWorkRemaining( 'Sprint Backlog'!$D$5:$D$65536, $A9, 'Sprint Backlog'!AA$5:AA$65536 )</f>
        <v>0</v>
      </c>
      <c r="W9" s="131">
        <f>DailyWorkRemaining( 'Sprint Backlog'!$D$5:$D$65536, $A9, 'Sprint Backlog'!AB$5:AB$65536 )</f>
        <v>0</v>
      </c>
      <c r="X9" s="131">
        <f>DailyWorkRemaining( 'Sprint Backlog'!$D$5:$D$65536, $A9, 'Sprint Backlog'!AC$5:AC$65536 )</f>
        <v>0</v>
      </c>
    </row>
    <row r="10" spans="1:24" x14ac:dyDescent="0.25">
      <c r="A10" s="132">
        <f>Planning!$G$9</f>
        <v>0</v>
      </c>
      <c r="B10" s="133">
        <f>DailyWorkRemaining( 'Sprint Backlog'!$D$5:$D$65536, $A10, 'Sprint Backlog'!G$5:G$65536 )</f>
        <v>0</v>
      </c>
      <c r="C10" s="133">
        <f>DailyWorkRemaining( 'Sprint Backlog'!$D$5:$D$65536, $A10, 'Sprint Backlog'!H$5:H$65536 )</f>
        <v>0</v>
      </c>
      <c r="D10" s="133">
        <f>DailyWorkRemaining( 'Sprint Backlog'!$D$5:$D$65536, $A10, 'Sprint Backlog'!I$5:I$65536 )</f>
        <v>0</v>
      </c>
      <c r="E10" s="133">
        <f>DailyWorkRemaining( 'Sprint Backlog'!$D$5:$D$65536, $A10, 'Sprint Backlog'!J$5:J$65536 )</f>
        <v>0</v>
      </c>
      <c r="F10" s="133">
        <f>DailyWorkRemaining( 'Sprint Backlog'!$D$5:$D$65536, $A10, 'Sprint Backlog'!K$5:K$65536 )</f>
        <v>0</v>
      </c>
      <c r="G10" s="133">
        <f>DailyWorkRemaining( 'Sprint Backlog'!$D$5:$D$65536, $A10, 'Sprint Backlog'!L$5:L$65536 )</f>
        <v>0</v>
      </c>
      <c r="H10" s="133">
        <f>DailyWorkRemaining( 'Sprint Backlog'!$D$5:$D$65536, $A10, 'Sprint Backlog'!M$5:M$65536 )</f>
        <v>0</v>
      </c>
      <c r="I10" s="133">
        <f>DailyWorkRemaining( 'Sprint Backlog'!$D$5:$D$65536, $A10, 'Sprint Backlog'!N$5:N$65536 )</f>
        <v>0</v>
      </c>
      <c r="J10" s="133">
        <f>DailyWorkRemaining( 'Sprint Backlog'!$D$5:$D$65536, $A10, 'Sprint Backlog'!O$5:O$65536 )</f>
        <v>0</v>
      </c>
      <c r="K10" s="133">
        <f>DailyWorkRemaining( 'Sprint Backlog'!$D$5:$D$65536, $A10, 'Sprint Backlog'!P$5:P$65536 )</f>
        <v>0</v>
      </c>
      <c r="L10" s="133">
        <f>DailyWorkRemaining( 'Sprint Backlog'!$D$5:$D$65536, $A10, 'Sprint Backlog'!Q$5:Q$65536 )</f>
        <v>0</v>
      </c>
      <c r="M10" s="133">
        <f>DailyWorkRemaining( 'Sprint Backlog'!$D$5:$D$65536, $A10, 'Sprint Backlog'!R$5:R$65536 )</f>
        <v>0</v>
      </c>
      <c r="N10" s="133">
        <f>DailyWorkRemaining( 'Sprint Backlog'!$D$5:$D$65536, $A10, 'Sprint Backlog'!S$5:S$65536 )</f>
        <v>0</v>
      </c>
      <c r="O10" s="133">
        <f>DailyWorkRemaining( 'Sprint Backlog'!$D$5:$D$65536, $A10, 'Sprint Backlog'!T$5:T$65536 )</f>
        <v>0</v>
      </c>
      <c r="P10" s="133">
        <f>DailyWorkRemaining( 'Sprint Backlog'!$D$5:$D$65536, $A10, 'Sprint Backlog'!U$5:U$65536 )</f>
        <v>0</v>
      </c>
      <c r="Q10" s="133">
        <f>DailyWorkRemaining( 'Sprint Backlog'!$D$5:$D$65536, $A10, 'Sprint Backlog'!V$5:V$65536 )</f>
        <v>0</v>
      </c>
      <c r="R10" s="133">
        <f>DailyWorkRemaining( 'Sprint Backlog'!$D$5:$D$65536, $A10, 'Sprint Backlog'!W$5:W$65536 )</f>
        <v>0</v>
      </c>
      <c r="S10" s="133">
        <f>DailyWorkRemaining( 'Sprint Backlog'!$D$5:$D$65536, $A10, 'Sprint Backlog'!X$5:X$65536 )</f>
        <v>0</v>
      </c>
      <c r="T10" s="133">
        <f>DailyWorkRemaining( 'Sprint Backlog'!$D$5:$D$65536, $A10, 'Sprint Backlog'!Y$5:Y$65536 )</f>
        <v>0</v>
      </c>
      <c r="U10" s="133">
        <f>DailyWorkRemaining( 'Sprint Backlog'!$D$5:$D$65536, $A10, 'Sprint Backlog'!Z$5:Z$65536 )</f>
        <v>0</v>
      </c>
      <c r="V10" s="133">
        <f>DailyWorkRemaining( 'Sprint Backlog'!$D$5:$D$65536, $A10, 'Sprint Backlog'!AA$5:AA$65536 )</f>
        <v>0</v>
      </c>
      <c r="W10" s="133">
        <f>DailyWorkRemaining( 'Sprint Backlog'!$D$5:$D$65536, $A10, 'Sprint Backlog'!AB$5:AB$65536 )</f>
        <v>0</v>
      </c>
      <c r="X10" s="133">
        <f>DailyWorkRemaining( 'Sprint Backlog'!$D$5:$D$65536, $A10, 'Sprint Backlog'!AC$5:AC$65536 )</f>
        <v>0</v>
      </c>
    </row>
    <row r="11" spans="1:24" x14ac:dyDescent="0.25">
      <c r="A11" s="130">
        <f>Planning!$H$9</f>
        <v>0</v>
      </c>
      <c r="B11" s="131">
        <f>DailyWorkRemaining( 'Sprint Backlog'!$D$5:$D$65536, $A11, 'Sprint Backlog'!G$5:G$65536 )</f>
        <v>0</v>
      </c>
      <c r="C11" s="131">
        <f>DailyWorkRemaining( 'Sprint Backlog'!$D$5:$D$65536, $A11, 'Sprint Backlog'!H$5:H$65536 )</f>
        <v>0</v>
      </c>
      <c r="D11" s="131">
        <f>DailyWorkRemaining( 'Sprint Backlog'!$D$5:$D$65536, $A11, 'Sprint Backlog'!I$5:I$65536 )</f>
        <v>0</v>
      </c>
      <c r="E11" s="131">
        <f>DailyWorkRemaining( 'Sprint Backlog'!$D$5:$D$65536, $A11, 'Sprint Backlog'!J$5:J$65536 )</f>
        <v>0</v>
      </c>
      <c r="F11" s="131">
        <f>DailyWorkRemaining( 'Sprint Backlog'!$D$5:$D$65536, $A11, 'Sprint Backlog'!K$5:K$65536 )</f>
        <v>0</v>
      </c>
      <c r="G11" s="131">
        <f>DailyWorkRemaining( 'Sprint Backlog'!$D$5:$D$65536, $A11, 'Sprint Backlog'!L$5:L$65536 )</f>
        <v>0</v>
      </c>
      <c r="H11" s="131">
        <f>DailyWorkRemaining( 'Sprint Backlog'!$D$5:$D$65536, $A11, 'Sprint Backlog'!M$5:M$65536 )</f>
        <v>0</v>
      </c>
      <c r="I11" s="131">
        <f>DailyWorkRemaining( 'Sprint Backlog'!$D$5:$D$65536, $A11, 'Sprint Backlog'!N$5:N$65536 )</f>
        <v>0</v>
      </c>
      <c r="J11" s="131">
        <f>DailyWorkRemaining( 'Sprint Backlog'!$D$5:$D$65536, $A11, 'Sprint Backlog'!O$5:O$65536 )</f>
        <v>0</v>
      </c>
      <c r="K11" s="131">
        <f>DailyWorkRemaining( 'Sprint Backlog'!$D$5:$D$65536, $A11, 'Sprint Backlog'!P$5:P$65536 )</f>
        <v>0</v>
      </c>
      <c r="L11" s="131">
        <f>DailyWorkRemaining( 'Sprint Backlog'!$D$5:$D$65536, $A11, 'Sprint Backlog'!Q$5:Q$65536 )</f>
        <v>0</v>
      </c>
      <c r="M11" s="131">
        <f>DailyWorkRemaining( 'Sprint Backlog'!$D$5:$D$65536, $A11, 'Sprint Backlog'!R$5:R$65536 )</f>
        <v>0</v>
      </c>
      <c r="N11" s="131">
        <f>DailyWorkRemaining( 'Sprint Backlog'!$D$5:$D$65536, $A11, 'Sprint Backlog'!S$5:S$65536 )</f>
        <v>0</v>
      </c>
      <c r="O11" s="131">
        <f>DailyWorkRemaining( 'Sprint Backlog'!$D$5:$D$65536, $A11, 'Sprint Backlog'!T$5:T$65536 )</f>
        <v>0</v>
      </c>
      <c r="P11" s="131">
        <f>DailyWorkRemaining( 'Sprint Backlog'!$D$5:$D$65536, $A11, 'Sprint Backlog'!U$5:U$65536 )</f>
        <v>0</v>
      </c>
      <c r="Q11" s="131">
        <f>DailyWorkRemaining( 'Sprint Backlog'!$D$5:$D$65536, $A11, 'Sprint Backlog'!V$5:V$65536 )</f>
        <v>0</v>
      </c>
      <c r="R11" s="131">
        <f>DailyWorkRemaining( 'Sprint Backlog'!$D$5:$D$65536, $A11, 'Sprint Backlog'!W$5:W$65536 )</f>
        <v>0</v>
      </c>
      <c r="S11" s="131">
        <f>DailyWorkRemaining( 'Sprint Backlog'!$D$5:$D$65536, $A11, 'Sprint Backlog'!X$5:X$65536 )</f>
        <v>0</v>
      </c>
      <c r="T11" s="131">
        <f>DailyWorkRemaining( 'Sprint Backlog'!$D$5:$D$65536, $A11, 'Sprint Backlog'!Y$5:Y$65536 )</f>
        <v>0</v>
      </c>
      <c r="U11" s="131">
        <f>DailyWorkRemaining( 'Sprint Backlog'!$D$5:$D$65536, $A11, 'Sprint Backlog'!Z$5:Z$65536 )</f>
        <v>0</v>
      </c>
      <c r="V11" s="131">
        <f>DailyWorkRemaining( 'Sprint Backlog'!$D$5:$D$65536, $A11, 'Sprint Backlog'!AA$5:AA$65536 )</f>
        <v>0</v>
      </c>
      <c r="W11" s="131">
        <f>DailyWorkRemaining( 'Sprint Backlog'!$D$5:$D$65536, $A11, 'Sprint Backlog'!AB$5:AB$65536 )</f>
        <v>0</v>
      </c>
      <c r="X11" s="131">
        <f>DailyWorkRemaining( 'Sprint Backlog'!$D$5:$D$65536, $A11, 'Sprint Backlog'!AC$5:AC$65536 )</f>
        <v>0</v>
      </c>
    </row>
    <row r="12" spans="1:24" x14ac:dyDescent="0.25">
      <c r="A12" s="132">
        <f>Planning!$I$9</f>
        <v>0</v>
      </c>
      <c r="B12" s="133">
        <f>DailyWorkRemaining( 'Sprint Backlog'!$D$5:$D$65536, $A12, 'Sprint Backlog'!G$5:G$65536 )</f>
        <v>0</v>
      </c>
      <c r="C12" s="133">
        <f>DailyWorkRemaining( 'Sprint Backlog'!$D$5:$D$65536, $A12, 'Sprint Backlog'!H$5:H$65536 )</f>
        <v>0</v>
      </c>
      <c r="D12" s="133">
        <f>DailyWorkRemaining( 'Sprint Backlog'!$D$5:$D$65536, $A12, 'Sprint Backlog'!I$5:I$65536 )</f>
        <v>0</v>
      </c>
      <c r="E12" s="133">
        <f>DailyWorkRemaining( 'Sprint Backlog'!$D$5:$D$65536, $A12, 'Sprint Backlog'!J$5:J$65536 )</f>
        <v>0</v>
      </c>
      <c r="F12" s="133">
        <f>DailyWorkRemaining( 'Sprint Backlog'!$D$5:$D$65536, $A12, 'Sprint Backlog'!K$5:K$65536 )</f>
        <v>0</v>
      </c>
      <c r="G12" s="133">
        <f>DailyWorkRemaining( 'Sprint Backlog'!$D$5:$D$65536, $A12, 'Sprint Backlog'!L$5:L$65536 )</f>
        <v>0</v>
      </c>
      <c r="H12" s="133">
        <f>DailyWorkRemaining( 'Sprint Backlog'!$D$5:$D$65536, $A12, 'Sprint Backlog'!M$5:M$65536 )</f>
        <v>0</v>
      </c>
      <c r="I12" s="133">
        <f>DailyWorkRemaining( 'Sprint Backlog'!$D$5:$D$65536, $A12, 'Sprint Backlog'!N$5:N$65536 )</f>
        <v>0</v>
      </c>
      <c r="J12" s="133">
        <f>DailyWorkRemaining( 'Sprint Backlog'!$D$5:$D$65536, $A12, 'Sprint Backlog'!O$5:O$65536 )</f>
        <v>0</v>
      </c>
      <c r="K12" s="133">
        <f>DailyWorkRemaining( 'Sprint Backlog'!$D$5:$D$65536, $A12, 'Sprint Backlog'!P$5:P$65536 )</f>
        <v>0</v>
      </c>
      <c r="L12" s="133">
        <f>DailyWorkRemaining( 'Sprint Backlog'!$D$5:$D$65536, $A12, 'Sprint Backlog'!Q$5:Q$65536 )</f>
        <v>0</v>
      </c>
      <c r="M12" s="133">
        <f>DailyWorkRemaining( 'Sprint Backlog'!$D$5:$D$65536, $A12, 'Sprint Backlog'!R$5:R$65536 )</f>
        <v>0</v>
      </c>
      <c r="N12" s="133">
        <f>DailyWorkRemaining( 'Sprint Backlog'!$D$5:$D$65536, $A12, 'Sprint Backlog'!S$5:S$65536 )</f>
        <v>0</v>
      </c>
      <c r="O12" s="133">
        <f>DailyWorkRemaining( 'Sprint Backlog'!$D$5:$D$65536, $A12, 'Sprint Backlog'!T$5:T$65536 )</f>
        <v>0</v>
      </c>
      <c r="P12" s="133">
        <f>DailyWorkRemaining( 'Sprint Backlog'!$D$5:$D$65536, $A12, 'Sprint Backlog'!U$5:U$65536 )</f>
        <v>0</v>
      </c>
      <c r="Q12" s="133">
        <f>DailyWorkRemaining( 'Sprint Backlog'!$D$5:$D$65536, $A12, 'Sprint Backlog'!V$5:V$65536 )</f>
        <v>0</v>
      </c>
      <c r="R12" s="133">
        <f>DailyWorkRemaining( 'Sprint Backlog'!$D$5:$D$65536, $A12, 'Sprint Backlog'!W$5:W$65536 )</f>
        <v>0</v>
      </c>
      <c r="S12" s="133">
        <f>DailyWorkRemaining( 'Sprint Backlog'!$D$5:$D$65536, $A12, 'Sprint Backlog'!X$5:X$65536 )</f>
        <v>0</v>
      </c>
      <c r="T12" s="133">
        <f>DailyWorkRemaining( 'Sprint Backlog'!$D$5:$D$65536, $A12, 'Sprint Backlog'!Y$5:Y$65536 )</f>
        <v>0</v>
      </c>
      <c r="U12" s="133">
        <f>DailyWorkRemaining( 'Sprint Backlog'!$D$5:$D$65536, $A12, 'Sprint Backlog'!Z$5:Z$65536 )</f>
        <v>0</v>
      </c>
      <c r="V12" s="133">
        <f>DailyWorkRemaining( 'Sprint Backlog'!$D$5:$D$65536, $A12, 'Sprint Backlog'!AA$5:AA$65536 )</f>
        <v>0</v>
      </c>
      <c r="W12" s="133">
        <f>DailyWorkRemaining( 'Sprint Backlog'!$D$5:$D$65536, $A12, 'Sprint Backlog'!AB$5:AB$65536 )</f>
        <v>0</v>
      </c>
      <c r="X12" s="133">
        <f>DailyWorkRemaining( 'Sprint Backlog'!$D$5:$D$65536, $A12, 'Sprint Backlog'!AC$5:AC$65536 )</f>
        <v>0</v>
      </c>
    </row>
    <row r="13" spans="1:24" x14ac:dyDescent="0.25">
      <c r="A13" s="130">
        <f>Planning!$J$9</f>
        <v>0</v>
      </c>
      <c r="B13" s="131">
        <f>DailyWorkRemaining( 'Sprint Backlog'!$D$5:$D$65536, $A13, 'Sprint Backlog'!G$5:G$65536 )</f>
        <v>0</v>
      </c>
      <c r="C13" s="131">
        <f>DailyWorkRemaining( 'Sprint Backlog'!$D$5:$D$65536, $A13, 'Sprint Backlog'!H$5:H$65536 )</f>
        <v>0</v>
      </c>
      <c r="D13" s="131">
        <f>DailyWorkRemaining( 'Sprint Backlog'!$D$5:$D$65536, $A13, 'Sprint Backlog'!I$5:I$65536 )</f>
        <v>0</v>
      </c>
      <c r="E13" s="131">
        <f>DailyWorkRemaining( 'Sprint Backlog'!$D$5:$D$65536, $A13, 'Sprint Backlog'!J$5:J$65536 )</f>
        <v>0</v>
      </c>
      <c r="F13" s="131">
        <f>DailyWorkRemaining( 'Sprint Backlog'!$D$5:$D$65536, $A13, 'Sprint Backlog'!K$5:K$65536 )</f>
        <v>0</v>
      </c>
      <c r="G13" s="131">
        <f>DailyWorkRemaining( 'Sprint Backlog'!$D$5:$D$65536, $A13, 'Sprint Backlog'!L$5:L$65536 )</f>
        <v>0</v>
      </c>
      <c r="H13" s="131">
        <f>DailyWorkRemaining( 'Sprint Backlog'!$D$5:$D$65536, $A13, 'Sprint Backlog'!M$5:M$65536 )</f>
        <v>0</v>
      </c>
      <c r="I13" s="131">
        <f>DailyWorkRemaining( 'Sprint Backlog'!$D$5:$D$65536, $A13, 'Sprint Backlog'!N$5:N$65536 )</f>
        <v>0</v>
      </c>
      <c r="J13" s="131">
        <f>DailyWorkRemaining( 'Sprint Backlog'!$D$5:$D$65536, $A13, 'Sprint Backlog'!O$5:O$65536 )</f>
        <v>0</v>
      </c>
      <c r="K13" s="131">
        <f>DailyWorkRemaining( 'Sprint Backlog'!$D$5:$D$65536, $A13, 'Sprint Backlog'!P$5:P$65536 )</f>
        <v>0</v>
      </c>
      <c r="L13" s="131">
        <f>DailyWorkRemaining( 'Sprint Backlog'!$D$5:$D$65536, $A13, 'Sprint Backlog'!Q$5:Q$65536 )</f>
        <v>0</v>
      </c>
      <c r="M13" s="131">
        <f>DailyWorkRemaining( 'Sprint Backlog'!$D$5:$D$65536, $A13, 'Sprint Backlog'!R$5:R$65536 )</f>
        <v>0</v>
      </c>
      <c r="N13" s="131">
        <f>DailyWorkRemaining( 'Sprint Backlog'!$D$5:$D$65536, $A13, 'Sprint Backlog'!S$5:S$65536 )</f>
        <v>0</v>
      </c>
      <c r="O13" s="131">
        <f>DailyWorkRemaining( 'Sprint Backlog'!$D$5:$D$65536, $A13, 'Sprint Backlog'!T$5:T$65536 )</f>
        <v>0</v>
      </c>
      <c r="P13" s="131">
        <f>DailyWorkRemaining( 'Sprint Backlog'!$D$5:$D$65536, $A13, 'Sprint Backlog'!U$5:U$65536 )</f>
        <v>0</v>
      </c>
      <c r="Q13" s="131">
        <f>DailyWorkRemaining( 'Sprint Backlog'!$D$5:$D$65536, $A13, 'Sprint Backlog'!V$5:V$65536 )</f>
        <v>0</v>
      </c>
      <c r="R13" s="131">
        <f>DailyWorkRemaining( 'Sprint Backlog'!$D$5:$D$65536, $A13, 'Sprint Backlog'!W$5:W$65536 )</f>
        <v>0</v>
      </c>
      <c r="S13" s="131">
        <f>DailyWorkRemaining( 'Sprint Backlog'!$D$5:$D$65536, $A13, 'Sprint Backlog'!X$5:X$65536 )</f>
        <v>0</v>
      </c>
      <c r="T13" s="131">
        <f>DailyWorkRemaining( 'Sprint Backlog'!$D$5:$D$65536, $A13, 'Sprint Backlog'!Y$5:Y$65536 )</f>
        <v>0</v>
      </c>
      <c r="U13" s="131">
        <f>DailyWorkRemaining( 'Sprint Backlog'!$D$5:$D$65536, $A13, 'Sprint Backlog'!Z$5:Z$65536 )</f>
        <v>0</v>
      </c>
      <c r="V13" s="131">
        <f>DailyWorkRemaining( 'Sprint Backlog'!$D$5:$D$65536, $A13, 'Sprint Backlog'!AA$5:AA$65536 )</f>
        <v>0</v>
      </c>
      <c r="W13" s="131">
        <f>DailyWorkRemaining( 'Sprint Backlog'!$D$5:$D$65536, $A13, 'Sprint Backlog'!AB$5:AB$65536 )</f>
        <v>0</v>
      </c>
      <c r="X13" s="131">
        <f>DailyWorkRemaining( 'Sprint Backlog'!$D$5:$D$65536, $A13, 'Sprint Backlog'!AC$5:AC$65536 )</f>
        <v>0</v>
      </c>
    </row>
    <row r="14" spans="1:24" x14ac:dyDescent="0.25">
      <c r="A14" s="134">
        <f>Planning!$K$9</f>
        <v>0</v>
      </c>
      <c r="B14" s="135">
        <f>DailyWorkRemaining( 'Sprint Backlog'!$D$5:$D$65536, $A14, 'Sprint Backlog'!G$5:G$65536 )</f>
        <v>0</v>
      </c>
      <c r="C14" s="135">
        <f>DailyWorkRemaining( 'Sprint Backlog'!$D$5:$D$65536, $A14, 'Sprint Backlog'!H$5:H$65536 )</f>
        <v>0</v>
      </c>
      <c r="D14" s="135">
        <f>DailyWorkRemaining( 'Sprint Backlog'!$D$5:$D$65536, $A14, 'Sprint Backlog'!I$5:I$65536 )</f>
        <v>0</v>
      </c>
      <c r="E14" s="135">
        <f>DailyWorkRemaining( 'Sprint Backlog'!$D$5:$D$65536, $A14, 'Sprint Backlog'!J$5:J$65536 )</f>
        <v>0</v>
      </c>
      <c r="F14" s="135">
        <f>DailyWorkRemaining( 'Sprint Backlog'!$D$5:$D$65536, $A14, 'Sprint Backlog'!K$5:K$65536 )</f>
        <v>0</v>
      </c>
      <c r="G14" s="135">
        <f>DailyWorkRemaining( 'Sprint Backlog'!$D$5:$D$65536, $A14, 'Sprint Backlog'!L$5:L$65536 )</f>
        <v>0</v>
      </c>
      <c r="H14" s="135">
        <f>DailyWorkRemaining( 'Sprint Backlog'!$D$5:$D$65536, $A14, 'Sprint Backlog'!M$5:M$65536 )</f>
        <v>0</v>
      </c>
      <c r="I14" s="135">
        <f>DailyWorkRemaining( 'Sprint Backlog'!$D$5:$D$65536, $A14, 'Sprint Backlog'!N$5:N$65536 )</f>
        <v>0</v>
      </c>
      <c r="J14" s="135">
        <f>DailyWorkRemaining( 'Sprint Backlog'!$D$5:$D$65536, $A14, 'Sprint Backlog'!O$5:O$65536 )</f>
        <v>0</v>
      </c>
      <c r="K14" s="135">
        <f>DailyWorkRemaining( 'Sprint Backlog'!$D$5:$D$65536, $A14, 'Sprint Backlog'!P$5:P$65536 )</f>
        <v>0</v>
      </c>
      <c r="L14" s="135">
        <f>DailyWorkRemaining( 'Sprint Backlog'!$D$5:$D$65536, $A14, 'Sprint Backlog'!Q$5:Q$65536 )</f>
        <v>0</v>
      </c>
      <c r="M14" s="135">
        <f>DailyWorkRemaining( 'Sprint Backlog'!$D$5:$D$65536, $A14, 'Sprint Backlog'!R$5:R$65536 )</f>
        <v>0</v>
      </c>
      <c r="N14" s="135">
        <f>DailyWorkRemaining( 'Sprint Backlog'!$D$5:$D$65536, $A14, 'Sprint Backlog'!S$5:S$65536 )</f>
        <v>0</v>
      </c>
      <c r="O14" s="135">
        <f>DailyWorkRemaining( 'Sprint Backlog'!$D$5:$D$65536, $A14, 'Sprint Backlog'!T$5:T$65536 )</f>
        <v>0</v>
      </c>
      <c r="P14" s="135">
        <f>DailyWorkRemaining( 'Sprint Backlog'!$D$5:$D$65536, $A14, 'Sprint Backlog'!U$5:U$65536 )</f>
        <v>0</v>
      </c>
      <c r="Q14" s="135">
        <f>DailyWorkRemaining( 'Sprint Backlog'!$D$5:$D$65536, $A14, 'Sprint Backlog'!V$5:V$65536 )</f>
        <v>0</v>
      </c>
      <c r="R14" s="135">
        <f>DailyWorkRemaining( 'Sprint Backlog'!$D$5:$D$65536, $A14, 'Sprint Backlog'!W$5:W$65536 )</f>
        <v>0</v>
      </c>
      <c r="S14" s="135">
        <f>DailyWorkRemaining( 'Sprint Backlog'!$D$5:$D$65536, $A14, 'Sprint Backlog'!X$5:X$65536 )</f>
        <v>0</v>
      </c>
      <c r="T14" s="135">
        <f>DailyWorkRemaining( 'Sprint Backlog'!$D$5:$D$65536, $A14, 'Sprint Backlog'!Y$5:Y$65536 )</f>
        <v>0</v>
      </c>
      <c r="U14" s="135">
        <f>DailyWorkRemaining( 'Sprint Backlog'!$D$5:$D$65536, $A14, 'Sprint Backlog'!Z$5:Z$65536 )</f>
        <v>0</v>
      </c>
      <c r="V14" s="135">
        <f>DailyWorkRemaining( 'Sprint Backlog'!$D$5:$D$65536, $A14, 'Sprint Backlog'!AA$5:AA$65536 )</f>
        <v>0</v>
      </c>
      <c r="W14" s="135">
        <f>DailyWorkRemaining( 'Sprint Backlog'!$D$5:$D$65536, $A14, 'Sprint Backlog'!AB$5:AB$65536 )</f>
        <v>0</v>
      </c>
      <c r="X14" s="135">
        <f>DailyWorkRemaining( 'Sprint Backlog'!$D$5:$D$65536, $A14, 'Sprint Backlog'!AC$5:AC$65536 )</f>
        <v>0</v>
      </c>
    </row>
    <row r="15" spans="1:24" ht="13.8" thickBot="1" x14ac:dyDescent="0.3">
      <c r="A15" s="130">
        <f>Planning!$L$9</f>
        <v>0</v>
      </c>
      <c r="B15" s="131">
        <f>DailyWorkRemaining( 'Sprint Backlog'!$D$5:$D$65536, $A15, 'Sprint Backlog'!G$5:G$65536 )</f>
        <v>0</v>
      </c>
      <c r="C15" s="131">
        <f>DailyWorkRemaining( 'Sprint Backlog'!$D$5:$D$65536, $A15, 'Sprint Backlog'!H$5:H$65536 )</f>
        <v>0</v>
      </c>
      <c r="D15" s="131">
        <f>DailyWorkRemaining( 'Sprint Backlog'!$D$5:$D$65536, $A15, 'Sprint Backlog'!I$5:I$65536 )</f>
        <v>0</v>
      </c>
      <c r="E15" s="131">
        <f>DailyWorkRemaining( 'Sprint Backlog'!$D$5:$D$65536, $A15, 'Sprint Backlog'!J$5:J$65536 )</f>
        <v>0</v>
      </c>
      <c r="F15" s="131">
        <f>DailyWorkRemaining( 'Sprint Backlog'!$D$5:$D$65536, $A15, 'Sprint Backlog'!K$5:K$65536 )</f>
        <v>0</v>
      </c>
      <c r="G15" s="131">
        <f>DailyWorkRemaining( 'Sprint Backlog'!$D$5:$D$65536, $A15, 'Sprint Backlog'!L$5:L$65536 )</f>
        <v>0</v>
      </c>
      <c r="H15" s="131">
        <f>DailyWorkRemaining( 'Sprint Backlog'!$D$5:$D$65536, $A15, 'Sprint Backlog'!M$5:M$65536 )</f>
        <v>0</v>
      </c>
      <c r="I15" s="131">
        <f>DailyWorkRemaining( 'Sprint Backlog'!$D$5:$D$65536, $A15, 'Sprint Backlog'!N$5:N$65536 )</f>
        <v>0</v>
      </c>
      <c r="J15" s="131">
        <f>DailyWorkRemaining( 'Sprint Backlog'!$D$5:$D$65536, $A15, 'Sprint Backlog'!O$5:O$65536 )</f>
        <v>0</v>
      </c>
      <c r="K15" s="131">
        <f>DailyWorkRemaining( 'Sprint Backlog'!$D$5:$D$65536, $A15, 'Sprint Backlog'!P$5:P$65536 )</f>
        <v>0</v>
      </c>
      <c r="L15" s="131">
        <f>DailyWorkRemaining( 'Sprint Backlog'!$D$5:$D$65536, $A15, 'Sprint Backlog'!Q$5:Q$65536 )</f>
        <v>0</v>
      </c>
      <c r="M15" s="131">
        <f>DailyWorkRemaining( 'Sprint Backlog'!$D$5:$D$65536, $A15, 'Sprint Backlog'!R$5:R$65536 )</f>
        <v>0</v>
      </c>
      <c r="N15" s="131">
        <f>DailyWorkRemaining( 'Sprint Backlog'!$D$5:$D$65536, $A15, 'Sprint Backlog'!S$5:S$65536 )</f>
        <v>0</v>
      </c>
      <c r="O15" s="131">
        <f>DailyWorkRemaining( 'Sprint Backlog'!$D$5:$D$65536, $A15, 'Sprint Backlog'!T$5:T$65536 )</f>
        <v>0</v>
      </c>
      <c r="P15" s="131">
        <f>DailyWorkRemaining( 'Sprint Backlog'!$D$5:$D$65536, $A15, 'Sprint Backlog'!U$5:U$65536 )</f>
        <v>0</v>
      </c>
      <c r="Q15" s="131">
        <f>DailyWorkRemaining( 'Sprint Backlog'!$D$5:$D$65536, $A15, 'Sprint Backlog'!V$5:V$65536 )</f>
        <v>0</v>
      </c>
      <c r="R15" s="131">
        <f>DailyWorkRemaining( 'Sprint Backlog'!$D$5:$D$65536, $A15, 'Sprint Backlog'!W$5:W$65536 )</f>
        <v>0</v>
      </c>
      <c r="S15" s="131">
        <f>DailyWorkRemaining( 'Sprint Backlog'!$D$5:$D$65536, $A15, 'Sprint Backlog'!X$5:X$65536 )</f>
        <v>0</v>
      </c>
      <c r="T15" s="131">
        <f>DailyWorkRemaining( 'Sprint Backlog'!$D$5:$D$65536, $A15, 'Sprint Backlog'!Y$5:Y$65536 )</f>
        <v>0</v>
      </c>
      <c r="U15" s="131">
        <f>DailyWorkRemaining( 'Sprint Backlog'!$D$5:$D$65536, $A15, 'Sprint Backlog'!Z$5:Z$65536 )</f>
        <v>0</v>
      </c>
      <c r="V15" s="131">
        <f>DailyWorkRemaining( 'Sprint Backlog'!$D$5:$D$65536, $A15, 'Sprint Backlog'!AA$5:AA$65536 )</f>
        <v>0</v>
      </c>
      <c r="W15" s="131">
        <f>DailyWorkRemaining( 'Sprint Backlog'!$D$5:$D$65536, $A15, 'Sprint Backlog'!AB$5:AB$65536 )</f>
        <v>0</v>
      </c>
      <c r="X15" s="131">
        <f>DailyWorkRemaining( 'Sprint Backlog'!$D$5:$D$65536, $A15, 'Sprint Backlog'!AC$5:AC$65536 )</f>
        <v>0</v>
      </c>
    </row>
    <row r="16" spans="1:24" x14ac:dyDescent="0.25">
      <c r="A16" s="136" t="s">
        <v>91</v>
      </c>
      <c r="B16" s="137">
        <f>'Sprint Backlog'!G$3</f>
        <v>60</v>
      </c>
      <c r="C16" s="137">
        <f>'Sprint Backlog'!H$3</f>
        <v>60</v>
      </c>
      <c r="D16" s="137">
        <f>'Sprint Backlog'!I$3</f>
        <v>60</v>
      </c>
      <c r="E16" s="137">
        <f>'Sprint Backlog'!J$3</f>
        <v>60</v>
      </c>
      <c r="F16" s="137">
        <f>'Sprint Backlog'!K$3</f>
        <v>60</v>
      </c>
      <c r="G16" s="137">
        <f>'Sprint Backlog'!L$3</f>
        <v>60</v>
      </c>
      <c r="H16" s="137">
        <f>'Sprint Backlog'!M$3</f>
        <v>60</v>
      </c>
      <c r="I16" s="137">
        <f>'Sprint Backlog'!N$3</f>
        <v>60</v>
      </c>
      <c r="J16" s="137">
        <f>'Sprint Backlog'!O$3</f>
        <v>59</v>
      </c>
      <c r="K16" s="137">
        <f>'Sprint Backlog'!P$3</f>
        <v>59</v>
      </c>
      <c r="L16" s="137">
        <f>'Sprint Backlog'!Q$3</f>
        <v>59</v>
      </c>
      <c r="M16" s="137">
        <f>'Sprint Backlog'!R$3</f>
        <v>59</v>
      </c>
      <c r="N16" s="137">
        <f>'Sprint Backlog'!S$3</f>
        <v>59</v>
      </c>
      <c r="O16" s="137">
        <f>'Sprint Backlog'!T$3</f>
        <v>59</v>
      </c>
      <c r="P16" s="137">
        <f>'Sprint Backlog'!U$3</f>
        <v>59</v>
      </c>
      <c r="Q16" s="137">
        <f>'Sprint Backlog'!V$3</f>
        <v>59</v>
      </c>
      <c r="R16" s="137">
        <f>'Sprint Backlog'!W$3</f>
        <v>59</v>
      </c>
      <c r="S16" s="137">
        <f>'Sprint Backlog'!X$3</f>
        <v>59</v>
      </c>
      <c r="T16" s="137">
        <f>'Sprint Backlog'!Y$3</f>
        <v>59</v>
      </c>
      <c r="U16" s="137">
        <f>'Sprint Backlog'!Z$3</f>
        <v>59</v>
      </c>
      <c r="V16" s="137">
        <f>'Sprint Backlog'!AA$3</f>
        <v>59</v>
      </c>
      <c r="W16" s="137">
        <f>'Sprint Backlog'!AB$3</f>
        <v>59</v>
      </c>
      <c r="X16" s="137">
        <f>'Sprint Backlog'!AC$3</f>
        <v>59</v>
      </c>
    </row>
    <row r="17" spans="1:24" x14ac:dyDescent="0.25">
      <c r="A17" s="138" t="s">
        <v>92</v>
      </c>
      <c r="B17" s="139">
        <v>0</v>
      </c>
      <c r="C17" s="139">
        <f t="shared" ref="C17:X17" si="3">B16-C16</f>
        <v>0</v>
      </c>
      <c r="D17" s="139">
        <f t="shared" si="3"/>
        <v>0</v>
      </c>
      <c r="E17" s="139">
        <f t="shared" si="3"/>
        <v>0</v>
      </c>
      <c r="F17" s="139">
        <f t="shared" si="3"/>
        <v>0</v>
      </c>
      <c r="G17" s="139">
        <f t="shared" si="3"/>
        <v>0</v>
      </c>
      <c r="H17" s="139">
        <f t="shared" si="3"/>
        <v>0</v>
      </c>
      <c r="I17" s="139">
        <f t="shared" si="3"/>
        <v>0</v>
      </c>
      <c r="J17" s="139">
        <f t="shared" si="3"/>
        <v>1</v>
      </c>
      <c r="K17" s="139">
        <f t="shared" si="3"/>
        <v>0</v>
      </c>
      <c r="L17" s="139">
        <f t="shared" si="3"/>
        <v>0</v>
      </c>
      <c r="M17" s="139">
        <f t="shared" si="3"/>
        <v>0</v>
      </c>
      <c r="N17" s="139">
        <f t="shared" si="3"/>
        <v>0</v>
      </c>
      <c r="O17" s="139">
        <f t="shared" si="3"/>
        <v>0</v>
      </c>
      <c r="P17" s="139">
        <f t="shared" si="3"/>
        <v>0</v>
      </c>
      <c r="Q17" s="139">
        <f t="shared" si="3"/>
        <v>0</v>
      </c>
      <c r="R17" s="139">
        <f t="shared" si="3"/>
        <v>0</v>
      </c>
      <c r="S17" s="139">
        <f t="shared" si="3"/>
        <v>0</v>
      </c>
      <c r="T17" s="139">
        <f t="shared" si="3"/>
        <v>0</v>
      </c>
      <c r="U17" s="139">
        <f t="shared" si="3"/>
        <v>0</v>
      </c>
      <c r="V17" s="139">
        <f t="shared" si="3"/>
        <v>0</v>
      </c>
      <c r="W17" s="139">
        <f t="shared" si="3"/>
        <v>0</v>
      </c>
      <c r="X17" s="139">
        <f t="shared" si="3"/>
        <v>0</v>
      </c>
    </row>
    <row r="18" spans="1:24" ht="15" customHeight="1" x14ac:dyDescent="0.25">
      <c r="A18" s="123" t="s">
        <v>93</v>
      </c>
      <c r="B18" s="139">
        <f>Calculations!G$19</f>
        <v>27</v>
      </c>
      <c r="C18" s="139">
        <f>Calculations!H$19</f>
        <v>27</v>
      </c>
      <c r="D18" s="139">
        <f>Calculations!I$19</f>
        <v>27</v>
      </c>
      <c r="E18" s="139">
        <f>Calculations!J$19</f>
        <v>27</v>
      </c>
      <c r="F18" s="139">
        <f>Calculations!K$19</f>
        <v>27</v>
      </c>
      <c r="G18" s="139">
        <f>Calculations!L$19</f>
        <v>27</v>
      </c>
      <c r="H18" s="139">
        <f>Calculations!M$19</f>
        <v>27</v>
      </c>
      <c r="I18" s="139">
        <f>Calculations!N$19</f>
        <v>27</v>
      </c>
      <c r="J18" s="139">
        <f>Calculations!O$19</f>
        <v>26</v>
      </c>
      <c r="K18" s="139">
        <f>Calculations!P$19</f>
        <v>26</v>
      </c>
      <c r="L18" s="139">
        <f>Calculations!Q$19</f>
        <v>26</v>
      </c>
      <c r="M18" s="139">
        <f>Calculations!R$19</f>
        <v>26</v>
      </c>
      <c r="N18" s="139">
        <f>Calculations!S$19</f>
        <v>26</v>
      </c>
      <c r="O18" s="139">
        <f>Calculations!T$19</f>
        <v>26</v>
      </c>
      <c r="P18" s="139">
        <f>Calculations!U$19</f>
        <v>26</v>
      </c>
      <c r="Q18" s="139">
        <f>Calculations!V$19</f>
        <v>26</v>
      </c>
      <c r="R18" s="139">
        <f>Calculations!W$19</f>
        <v>26</v>
      </c>
      <c r="S18" s="139">
        <f>Calculations!X$19</f>
        <v>26</v>
      </c>
      <c r="T18" s="139">
        <f>Calculations!Y$19</f>
        <v>26</v>
      </c>
      <c r="U18" s="139">
        <f>Calculations!Z$19</f>
        <v>26</v>
      </c>
      <c r="V18" s="139">
        <f>Calculations!AA$19</f>
        <v>26</v>
      </c>
      <c r="W18" s="139">
        <f>Calculations!AB$19</f>
        <v>26</v>
      </c>
      <c r="X18" s="139">
        <f>Calculations!AC$19</f>
        <v>26</v>
      </c>
    </row>
    <row r="19" spans="1:24" ht="12" customHeight="1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</row>
    <row r="20" spans="1:24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</row>
    <row r="21" spans="1:24" x14ac:dyDescent="0.25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</row>
    <row r="22" spans="1:24" x14ac:dyDescent="0.25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</row>
    <row r="23" spans="1:24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</row>
    <row r="24" spans="1:24" x14ac:dyDescent="0.25">
      <c r="A24" s="141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</row>
    <row r="25" spans="1:24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</row>
    <row r="26" spans="1:24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</row>
    <row r="27" spans="1:24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</row>
    <row r="28" spans="1:24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</row>
    <row r="29" spans="1:24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</row>
    <row r="30" spans="1:24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</row>
    <row r="31" spans="1:24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</row>
    <row r="32" spans="1:24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</row>
    <row r="33" spans="1:24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</row>
    <row r="34" spans="1:24" x14ac:dyDescent="0.25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</row>
    <row r="35" spans="1:24" x14ac:dyDescent="0.25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</row>
    <row r="36" spans="1:24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</row>
    <row r="37" spans="1:24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</row>
    <row r="38" spans="1:24" x14ac:dyDescent="0.25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</row>
    <row r="39" spans="1:24" x14ac:dyDescent="0.25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</row>
    <row r="40" spans="1:24" x14ac:dyDescent="0.25"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</row>
    <row r="41" spans="1:24" x14ac:dyDescent="0.25">
      <c r="A41" s="142" t="s">
        <v>94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103" customWidth="1"/>
    <col min="2" max="2" width="21.109375" style="103" customWidth="1"/>
    <col min="3" max="5" width="3.5546875" style="103" customWidth="1"/>
    <col min="6" max="6" width="31.88671875" style="103" customWidth="1"/>
    <col min="7" max="29" width="10.6640625" style="103" customWidth="1"/>
    <col min="30" max="30" width="10.6640625" customWidth="1"/>
  </cols>
  <sheetData>
    <row r="1" spans="1:41" ht="26.25" customHeight="1" x14ac:dyDescent="0.25">
      <c r="A1" s="79" t="str">
        <f>$A$46</f>
        <v>&lt;Your Team Name Here&gt; - Calculations -- Embrace Reality</v>
      </c>
      <c r="B1" s="80"/>
      <c r="C1"/>
      <c r="D1" s="81"/>
      <c r="E1" s="81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</row>
    <row r="2" spans="1:41" ht="20.399999999999999" x14ac:dyDescent="0.25">
      <c r="A2" s="82"/>
      <c r="B2" s="83" t="s">
        <v>95</v>
      </c>
      <c r="C2" s="84"/>
      <c r="D2" s="81"/>
      <c r="E2" s="81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</row>
    <row r="3" spans="1:41" x14ac:dyDescent="0.25">
      <c r="A3" s="85"/>
      <c r="B3" s="84"/>
      <c r="C3" s="60"/>
      <c r="D3" s="81"/>
      <c r="E3" s="81"/>
      <c r="F3" s="61" t="s">
        <v>41</v>
      </c>
      <c r="G3" s="86" t="s">
        <v>42</v>
      </c>
      <c r="H3" s="62">
        <f>SprintStartDate</f>
        <v>44636</v>
      </c>
      <c r="I3" s="62">
        <f t="shared" ref="I3:AC4" si="0">H3+1</f>
        <v>44637</v>
      </c>
      <c r="J3" s="62">
        <f t="shared" si="0"/>
        <v>44638</v>
      </c>
      <c r="K3" s="62">
        <f t="shared" si="0"/>
        <v>44639</v>
      </c>
      <c r="L3" s="62">
        <f t="shared" si="0"/>
        <v>44640</v>
      </c>
      <c r="M3" s="62">
        <f t="shared" si="0"/>
        <v>44641</v>
      </c>
      <c r="N3" s="62">
        <f t="shared" si="0"/>
        <v>44642</v>
      </c>
      <c r="O3" s="62">
        <f t="shared" si="0"/>
        <v>44643</v>
      </c>
      <c r="P3" s="62">
        <f t="shared" si="0"/>
        <v>44644</v>
      </c>
      <c r="Q3" s="62">
        <f t="shared" si="0"/>
        <v>44645</v>
      </c>
      <c r="R3" s="62">
        <f t="shared" si="0"/>
        <v>44646</v>
      </c>
      <c r="S3" s="62">
        <f t="shared" si="0"/>
        <v>44647</v>
      </c>
      <c r="T3" s="62">
        <f t="shared" si="0"/>
        <v>44648</v>
      </c>
      <c r="U3" s="62">
        <f t="shared" si="0"/>
        <v>44649</v>
      </c>
      <c r="V3" s="62">
        <f t="shared" si="0"/>
        <v>44650</v>
      </c>
      <c r="W3" s="62">
        <f t="shared" si="0"/>
        <v>44651</v>
      </c>
      <c r="X3" s="62">
        <f t="shared" si="0"/>
        <v>44652</v>
      </c>
      <c r="Y3" s="62">
        <f t="shared" si="0"/>
        <v>44653</v>
      </c>
      <c r="Z3" s="62">
        <f t="shared" si="0"/>
        <v>44654</v>
      </c>
      <c r="AA3" s="62">
        <f t="shared" si="0"/>
        <v>44655</v>
      </c>
      <c r="AB3" s="62">
        <f t="shared" si="0"/>
        <v>44656</v>
      </c>
      <c r="AC3" s="62">
        <f t="shared" si="0"/>
        <v>44657</v>
      </c>
    </row>
    <row r="4" spans="1:41" x14ac:dyDescent="0.25">
      <c r="A4" s="61" t="s">
        <v>43</v>
      </c>
      <c r="B4" s="63">
        <v>44643</v>
      </c>
      <c r="C4" s="60"/>
      <c r="D4" s="81"/>
      <c r="E4" s="81"/>
      <c r="F4" s="61" t="s">
        <v>44</v>
      </c>
      <c r="G4" s="87">
        <v>0</v>
      </c>
      <c r="H4" s="88">
        <f>'Sprint Backlog'!H1</f>
        <v>1</v>
      </c>
      <c r="I4" s="88">
        <f t="shared" si="0"/>
        <v>2</v>
      </c>
      <c r="J4" s="88">
        <f t="shared" si="0"/>
        <v>3</v>
      </c>
      <c r="K4" s="88">
        <f t="shared" si="0"/>
        <v>4</v>
      </c>
      <c r="L4" s="88">
        <f t="shared" si="0"/>
        <v>5</v>
      </c>
      <c r="M4" s="88">
        <f t="shared" si="0"/>
        <v>6</v>
      </c>
      <c r="N4" s="88">
        <f t="shared" si="0"/>
        <v>7</v>
      </c>
      <c r="O4" s="88">
        <f t="shared" si="0"/>
        <v>8</v>
      </c>
      <c r="P4" s="88">
        <f t="shared" si="0"/>
        <v>9</v>
      </c>
      <c r="Q4" s="88">
        <f t="shared" si="0"/>
        <v>10</v>
      </c>
      <c r="R4" s="88">
        <f t="shared" si="0"/>
        <v>11</v>
      </c>
      <c r="S4" s="88">
        <f t="shared" si="0"/>
        <v>12</v>
      </c>
      <c r="T4" s="88">
        <f t="shared" si="0"/>
        <v>13</v>
      </c>
      <c r="U4" s="88">
        <f t="shared" si="0"/>
        <v>14</v>
      </c>
      <c r="V4" s="88">
        <f t="shared" si="0"/>
        <v>15</v>
      </c>
      <c r="W4" s="88">
        <f t="shared" si="0"/>
        <v>16</v>
      </c>
      <c r="X4" s="88">
        <f t="shared" si="0"/>
        <v>17</v>
      </c>
      <c r="Y4" s="88">
        <f t="shared" si="0"/>
        <v>18</v>
      </c>
      <c r="Z4" s="88">
        <f t="shared" si="0"/>
        <v>19</v>
      </c>
      <c r="AA4" s="88">
        <f t="shared" si="0"/>
        <v>20</v>
      </c>
      <c r="AB4" s="88">
        <f t="shared" si="0"/>
        <v>21</v>
      </c>
      <c r="AC4" s="88">
        <f t="shared" si="0"/>
        <v>22</v>
      </c>
    </row>
    <row r="5" spans="1:41" x14ac:dyDescent="0.25">
      <c r="A5" s="61" t="s">
        <v>45</v>
      </c>
      <c r="B5" s="63">
        <f xml:space="preserve"> ( FirstCalendarDayOfSprint - 1 ) + NumberOfCalendarDaysInSprint</f>
        <v>44657</v>
      </c>
      <c r="C5" s="84"/>
      <c r="D5" s="81"/>
      <c r="E5" s="81"/>
      <c r="F5" s="61" t="s">
        <v>46</v>
      </c>
      <c r="G5" s="89">
        <v>0</v>
      </c>
      <c r="H5" s="90">
        <f t="shared" ref="H5:AC5" si="1">G5 + H21</f>
        <v>1</v>
      </c>
      <c r="I5" s="90">
        <f t="shared" si="1"/>
        <v>2</v>
      </c>
      <c r="J5" s="90">
        <f t="shared" si="1"/>
        <v>3</v>
      </c>
      <c r="K5" s="90">
        <f t="shared" si="1"/>
        <v>3</v>
      </c>
      <c r="L5" s="90">
        <f t="shared" si="1"/>
        <v>3</v>
      </c>
      <c r="M5" s="90">
        <f t="shared" si="1"/>
        <v>4</v>
      </c>
      <c r="N5" s="90">
        <f t="shared" si="1"/>
        <v>5</v>
      </c>
      <c r="O5" s="90">
        <f t="shared" si="1"/>
        <v>6</v>
      </c>
      <c r="P5" s="90">
        <f t="shared" si="1"/>
        <v>7</v>
      </c>
      <c r="Q5" s="90">
        <f t="shared" si="1"/>
        <v>8</v>
      </c>
      <c r="R5" s="90">
        <f t="shared" si="1"/>
        <v>8</v>
      </c>
      <c r="S5" s="90">
        <f t="shared" si="1"/>
        <v>8</v>
      </c>
      <c r="T5" s="90">
        <f t="shared" si="1"/>
        <v>9</v>
      </c>
      <c r="U5" s="90">
        <f t="shared" si="1"/>
        <v>10</v>
      </c>
      <c r="V5" s="90">
        <f t="shared" si="1"/>
        <v>11</v>
      </c>
      <c r="W5" s="90">
        <f t="shared" si="1"/>
        <v>12</v>
      </c>
      <c r="X5" s="90">
        <f t="shared" si="1"/>
        <v>13</v>
      </c>
      <c r="Y5" s="90">
        <f t="shared" si="1"/>
        <v>13</v>
      </c>
      <c r="Z5" s="90">
        <f t="shared" si="1"/>
        <v>13</v>
      </c>
      <c r="AA5" s="90">
        <f t="shared" si="1"/>
        <v>14</v>
      </c>
      <c r="AB5" s="90">
        <f t="shared" si="1"/>
        <v>15</v>
      </c>
      <c r="AC5" s="90">
        <f t="shared" si="1"/>
        <v>16</v>
      </c>
    </row>
    <row r="6" spans="1:41" x14ac:dyDescent="0.25">
      <c r="A6" s="91" t="s">
        <v>47</v>
      </c>
      <c r="B6" s="170">
        <f>ProjectedEndDate( PessimisticProjectionBurnRate, PessimisticProjectionSprintDuration )</f>
        <v>45001</v>
      </c>
      <c r="C6" s="84"/>
      <c r="D6" s="81"/>
      <c r="E6" s="81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</row>
    <row r="7" spans="1:41" x14ac:dyDescent="0.25">
      <c r="A7" s="61" t="s">
        <v>48</v>
      </c>
      <c r="B7" s="172">
        <f>ProjectedEndDate( OptimisticProjectionBurnRate, OptimisticProjectionSprintDuration )</f>
        <v>44657</v>
      </c>
      <c r="C7" s="81"/>
      <c r="D7" s="81"/>
      <c r="E7" s="81"/>
      <c r="F7" s="61" t="s">
        <v>49</v>
      </c>
      <c r="G7" s="64">
        <f>MAX( 0, 'Sprint Backlog'!G$3 )</f>
        <v>60</v>
      </c>
      <c r="H7" s="64">
        <f>MAX( 0, 'Sprint Backlog'!H$3 )</f>
        <v>60</v>
      </c>
      <c r="I7" s="64">
        <f>MAX( 0, 'Sprint Backlog'!I$3 )</f>
        <v>60</v>
      </c>
      <c r="J7" s="64">
        <f>MAX( 0, 'Sprint Backlog'!J$3 )</f>
        <v>60</v>
      </c>
      <c r="K7" s="64">
        <f>MAX( 0, 'Sprint Backlog'!K$3 )</f>
        <v>60</v>
      </c>
      <c r="L7" s="64">
        <f>MAX( 0, 'Sprint Backlog'!L$3 )</f>
        <v>60</v>
      </c>
      <c r="M7" s="64">
        <f>MAX( 0, 'Sprint Backlog'!M$3 )</f>
        <v>60</v>
      </c>
      <c r="N7" s="64">
        <f>MAX( 0, 'Sprint Backlog'!N$3 )</f>
        <v>60</v>
      </c>
      <c r="O7" s="64">
        <f>MAX( 0, 'Sprint Backlog'!O$3 )</f>
        <v>59</v>
      </c>
      <c r="P7" s="64">
        <f>MAX( 0, 'Sprint Backlog'!P$3 )</f>
        <v>59</v>
      </c>
      <c r="Q7" s="64">
        <f>MAX( 0, 'Sprint Backlog'!Q$3 )</f>
        <v>59</v>
      </c>
      <c r="R7" s="64">
        <f>MAX( 0, 'Sprint Backlog'!R$3 )</f>
        <v>59</v>
      </c>
      <c r="S7" s="64">
        <f>MAX( 0, 'Sprint Backlog'!S$3 )</f>
        <v>59</v>
      </c>
      <c r="T7" s="64">
        <f>MAX( 0, 'Sprint Backlog'!T$3 )</f>
        <v>59</v>
      </c>
      <c r="U7" s="64">
        <f>MAX( 0, 'Sprint Backlog'!U$3 )</f>
        <v>59</v>
      </c>
      <c r="V7" s="64">
        <f>MAX( 0, 'Sprint Backlog'!V$3 )</f>
        <v>59</v>
      </c>
      <c r="W7" s="64">
        <f>MAX( 0, 'Sprint Backlog'!W$3 )</f>
        <v>59</v>
      </c>
      <c r="X7" s="64">
        <f>MAX( 0, 'Sprint Backlog'!X$3 )</f>
        <v>59</v>
      </c>
      <c r="Y7" s="64">
        <f>MAX( 0, 'Sprint Backlog'!Y$3 )</f>
        <v>59</v>
      </c>
      <c r="Z7" s="64">
        <f>MAX( 0, 'Sprint Backlog'!Z$3 )</f>
        <v>59</v>
      </c>
      <c r="AA7" s="64">
        <f>MAX( 0, 'Sprint Backlog'!AA$3 )</f>
        <v>59</v>
      </c>
      <c r="AB7" s="64">
        <f>MAX( 0, 'Sprint Backlog'!AB$3 )</f>
        <v>59</v>
      </c>
      <c r="AC7" s="64">
        <f>MAX( 0, 'Sprint Backlog'!AC$3 )</f>
        <v>59</v>
      </c>
    </row>
    <row r="8" spans="1:41" x14ac:dyDescent="0.25">
      <c r="A8" s="81"/>
      <c r="B8" s="81"/>
      <c r="C8" s="81"/>
      <c r="D8" s="81"/>
      <c r="E8" s="81"/>
      <c r="F8" s="61" t="s">
        <v>50</v>
      </c>
      <c r="G8" s="65"/>
      <c r="H8" s="65">
        <f t="shared" ref="H8:AC8" si="2">H7 - G7</f>
        <v>0</v>
      </c>
      <c r="I8" s="65">
        <f t="shared" si="2"/>
        <v>0</v>
      </c>
      <c r="J8" s="65">
        <f t="shared" si="2"/>
        <v>0</v>
      </c>
      <c r="K8" s="65">
        <f t="shared" si="2"/>
        <v>0</v>
      </c>
      <c r="L8" s="65">
        <f t="shared" si="2"/>
        <v>0</v>
      </c>
      <c r="M8" s="65">
        <f t="shared" si="2"/>
        <v>0</v>
      </c>
      <c r="N8" s="65">
        <f t="shared" si="2"/>
        <v>0</v>
      </c>
      <c r="O8" s="65">
        <f t="shared" si="2"/>
        <v>-1</v>
      </c>
      <c r="P8" s="65">
        <f t="shared" si="2"/>
        <v>0</v>
      </c>
      <c r="Q8" s="65">
        <f t="shared" si="2"/>
        <v>0</v>
      </c>
      <c r="R8" s="65">
        <f t="shared" si="2"/>
        <v>0</v>
      </c>
      <c r="S8" s="65">
        <f t="shared" si="2"/>
        <v>0</v>
      </c>
      <c r="T8" s="65">
        <f t="shared" si="2"/>
        <v>0</v>
      </c>
      <c r="U8" s="65">
        <f t="shared" si="2"/>
        <v>0</v>
      </c>
      <c r="V8" s="65">
        <f t="shared" si="2"/>
        <v>0</v>
      </c>
      <c r="W8" s="65">
        <f t="shared" si="2"/>
        <v>0</v>
      </c>
      <c r="X8" s="65">
        <f t="shared" si="2"/>
        <v>0</v>
      </c>
      <c r="Y8" s="65">
        <f t="shared" si="2"/>
        <v>0</v>
      </c>
      <c r="Z8" s="65">
        <f t="shared" si="2"/>
        <v>0</v>
      </c>
      <c r="AA8" s="65">
        <f t="shared" si="2"/>
        <v>0</v>
      </c>
      <c r="AB8" s="65">
        <f t="shared" si="2"/>
        <v>0</v>
      </c>
      <c r="AC8" s="65">
        <f t="shared" si="2"/>
        <v>0</v>
      </c>
    </row>
    <row r="9" spans="1:41" x14ac:dyDescent="0.25">
      <c r="A9" s="61" t="s">
        <v>51</v>
      </c>
      <c r="B9" s="66" t="str">
        <f>GetProgressStatusMessage( CurrentTrendBurnRate )</f>
        <v>Progress Being Made</v>
      </c>
      <c r="C9" s="67"/>
      <c r="D9" s="81"/>
      <c r="E9" s="81"/>
      <c r="F9" s="61" t="s">
        <v>52</v>
      </c>
      <c r="G9" s="92">
        <f>$AC$9</f>
        <v>-0.16666666666666666</v>
      </c>
      <c r="H9" s="93">
        <f>IF( H22, ( ( H7 - TotalAssignedWork ) / H5 ), 0 )</f>
        <v>0</v>
      </c>
      <c r="I9" s="93">
        <f t="shared" ref="I9:AC9" si="3">IF( I22, ( ( I7 - TotalAssignedWork ) / I5 ), H9 )</f>
        <v>0</v>
      </c>
      <c r="J9" s="93">
        <f t="shared" si="3"/>
        <v>0</v>
      </c>
      <c r="K9" s="93">
        <f t="shared" si="3"/>
        <v>0</v>
      </c>
      <c r="L9" s="93">
        <f t="shared" si="3"/>
        <v>0</v>
      </c>
      <c r="M9" s="93">
        <f t="shared" si="3"/>
        <v>0</v>
      </c>
      <c r="N9" s="93">
        <f t="shared" si="3"/>
        <v>0</v>
      </c>
      <c r="O9" s="93">
        <f t="shared" si="3"/>
        <v>-0.16666666666666666</v>
      </c>
      <c r="P9" s="93">
        <f t="shared" si="3"/>
        <v>-0.16666666666666666</v>
      </c>
      <c r="Q9" s="93">
        <f t="shared" si="3"/>
        <v>-0.16666666666666666</v>
      </c>
      <c r="R9" s="93">
        <f t="shared" si="3"/>
        <v>-0.16666666666666666</v>
      </c>
      <c r="S9" s="93">
        <f t="shared" si="3"/>
        <v>-0.16666666666666666</v>
      </c>
      <c r="T9" s="93">
        <f t="shared" si="3"/>
        <v>-0.16666666666666666</v>
      </c>
      <c r="U9" s="93">
        <f t="shared" si="3"/>
        <v>-0.16666666666666666</v>
      </c>
      <c r="V9" s="93">
        <f t="shared" si="3"/>
        <v>-0.16666666666666666</v>
      </c>
      <c r="W9" s="93">
        <f t="shared" si="3"/>
        <v>-0.16666666666666666</v>
      </c>
      <c r="X9" s="93">
        <f t="shared" si="3"/>
        <v>-0.16666666666666666</v>
      </c>
      <c r="Y9" s="93">
        <f t="shared" si="3"/>
        <v>-0.16666666666666666</v>
      </c>
      <c r="Z9" s="93">
        <f t="shared" si="3"/>
        <v>-0.16666666666666666</v>
      </c>
      <c r="AA9" s="93">
        <f t="shared" si="3"/>
        <v>-0.16666666666666666</v>
      </c>
      <c r="AB9" s="93">
        <f t="shared" si="3"/>
        <v>-0.16666666666666666</v>
      </c>
      <c r="AC9" s="93">
        <f t="shared" si="3"/>
        <v>-0.16666666666666666</v>
      </c>
    </row>
    <row r="10" spans="1:41" x14ac:dyDescent="0.25">
      <c r="A10" s="61" t="s">
        <v>53</v>
      </c>
      <c r="B10" s="68">
        <f>NumberOfCalendarDaysInSprint</f>
        <v>22</v>
      </c>
      <c r="C10" s="81"/>
      <c r="D10" s="81"/>
      <c r="E10" s="81"/>
      <c r="F10" s="61" t="s">
        <v>54</v>
      </c>
      <c r="G10" s="69">
        <f>TotalAssignedWork</f>
        <v>60</v>
      </c>
      <c r="H10" s="69">
        <f>MAX( 0, IF( $H$21, ( $G$10 + CurrentTrendBurnRate ), $G$10 ) )</f>
        <v>59.833333333333336</v>
      </c>
      <c r="I10" s="69">
        <f>MAX( 0, IF( $I$21, ( $H$10 + CurrentTrendBurnRate ), $H$10 ) )</f>
        <v>59.666666666666671</v>
      </c>
      <c r="J10" s="69">
        <f>MAX( 0, IF( $J$21, ( $I$10 + CurrentTrendBurnRate ), $I$10 ) )</f>
        <v>59.500000000000007</v>
      </c>
      <c r="K10" s="69">
        <f>MAX( 0, IF( $K$21, ( $J$10 + CurrentTrendBurnRate ), $J$10 ) )</f>
        <v>59.500000000000007</v>
      </c>
      <c r="L10" s="69">
        <f>MAX( 0, IF( $L$21, ( $K$10 + CurrentTrendBurnRate ), $K$10 ) )</f>
        <v>59.500000000000007</v>
      </c>
      <c r="M10" s="69">
        <f>MAX( 0, IF( $M$21, ( $L$10 + CurrentTrendBurnRate ), $L$10 ) )</f>
        <v>59.333333333333343</v>
      </c>
      <c r="N10" s="69">
        <f>MAX( 0, IF( $N$21, ( $M$10 + CurrentTrendBurnRate ), $M$10 ) )</f>
        <v>59.166666666666679</v>
      </c>
      <c r="O10" s="69">
        <f>MAX( 0, IF( $O$21, ( $N$10 + CurrentTrendBurnRate ), $N$10 ) )</f>
        <v>59.000000000000014</v>
      </c>
      <c r="P10" s="69">
        <f>MAX( 0, IF( $P$21, ( $O$10 + CurrentTrendBurnRate ), $O$10 ) )</f>
        <v>58.83333333333335</v>
      </c>
      <c r="Q10" s="69">
        <f>MAX( 0, IF( $Q$21, ( $P$10 + CurrentTrendBurnRate ), $P$10 ) )</f>
        <v>58.666666666666686</v>
      </c>
      <c r="R10" s="69">
        <f>MAX( 0, IF( $R$21, ( $Q$10 + CurrentTrendBurnRate ), $Q$10 ) )</f>
        <v>58.666666666666686</v>
      </c>
      <c r="S10" s="69">
        <f>MAX( 0, IF( $S$21, ( $R$10 + CurrentTrendBurnRate ), $R$10 ) )</f>
        <v>58.666666666666686</v>
      </c>
      <c r="T10" s="69">
        <f>MAX( 0, IF( $T$21, ( $S$10 + CurrentTrendBurnRate ), $S$10 ) )</f>
        <v>58.500000000000021</v>
      </c>
      <c r="U10" s="69">
        <f>MAX( 0, IF( $U$21, ( $T$10 + CurrentTrendBurnRate ), $T$10 ) )</f>
        <v>58.333333333333357</v>
      </c>
      <c r="V10" s="69">
        <f>MAX( 0, IF( $V$21, ( $U$10 + CurrentTrendBurnRate ), $U$10 ) )</f>
        <v>58.166666666666693</v>
      </c>
      <c r="W10" s="69">
        <f>MAX( 0, IF( $W$21, ( $V$10 + CurrentTrendBurnRate ), $V$10 ) )</f>
        <v>58.000000000000028</v>
      </c>
      <c r="X10" s="69">
        <f>MAX( 0, IF( $X$21, ( $W$10 + CurrentTrendBurnRate ), $W$10 ) )</f>
        <v>57.833333333333364</v>
      </c>
      <c r="Y10" s="69">
        <f>MAX( 0, IF( $Y$21, ( $X$10 + CurrentTrendBurnRate ), $X$10 ) )</f>
        <v>57.833333333333364</v>
      </c>
      <c r="Z10" s="69">
        <f>MAX( 0, IF( $Z$21, ( $Y$10 + CurrentTrendBurnRate ), $Y$10 ) )</f>
        <v>57.833333333333364</v>
      </c>
      <c r="AA10" s="69">
        <f>MAX( 0, IF( $AA$21, ( $Z$10 + CurrentTrendBurnRate ), $Z$10 ) )</f>
        <v>57.6666666666667</v>
      </c>
      <c r="AB10" s="69">
        <f>MAX( 0, IF( $AB$21, ( $AA$10 + CurrentTrendBurnRate ), $AA$10 ) )</f>
        <v>57.500000000000036</v>
      </c>
      <c r="AC10" s="69">
        <f>MAX( 0, IF( $AC$21, ( $AB$10 + CurrentTrendBurnRate ), $AB$10 ) )</f>
        <v>57.333333333333371</v>
      </c>
      <c r="AD10">
        <f>MAX( 0, IF( $AD$21, ( $J$10 + CurrentTrendBurnRate ), $J$10 ) )</f>
        <v>59.500000000000007</v>
      </c>
      <c r="AE10">
        <f>MAX( 0, IF( $AE$21, ( $AD$10 + CurrentTrendBurnRate ), $AD$10 ) )</f>
        <v>59.500000000000007</v>
      </c>
      <c r="AF10">
        <f>MAX( 0, IF( $AF$21, ( $AE$10 + CurrentTrendBurnRate ), $AE$10 ) )</f>
        <v>59.500000000000007</v>
      </c>
      <c r="AG10">
        <f>MAX( 0, IF( $AG$21, ( $AF$10 + CurrentTrendBurnRate ), $AF$10 ) )</f>
        <v>59.500000000000007</v>
      </c>
      <c r="AH10">
        <f>MAX( 0, IF( $AH$21, ( $AG$10 + CurrentTrendBurnRate ), $AG$10 ) )</f>
        <v>59.500000000000007</v>
      </c>
      <c r="AI10">
        <f>MAX( 0, IF( $AI$21, ( $AH$10 + CurrentTrendBurnRate ), $AH$10 ) )</f>
        <v>59.500000000000007</v>
      </c>
      <c r="AJ10">
        <f>MAX( 0, IF( $AJ$21, ( $AI$10 + CurrentTrendBurnRate ), $AI$10 ) )</f>
        <v>59.500000000000007</v>
      </c>
      <c r="AK10">
        <f>MAX( 0, IF( $AK$21, ( $AJ$10 + CurrentTrendBurnRate ), $AJ$10 ) )</f>
        <v>59.500000000000007</v>
      </c>
      <c r="AL10">
        <f>MAX( 0, IF( $AL$21, ( $AK$10 + CurrentTrendBurnRate ), $AK$10 ) )</f>
        <v>59.500000000000007</v>
      </c>
      <c r="AM10">
        <f>MAX( 0, IF( $AM$21, ( $AL$10 + CurrentTrendBurnRate ), $AL$10 ) )</f>
        <v>59.500000000000007</v>
      </c>
      <c r="AN10">
        <f>MAX( 0, IF( $AN$21, ( $AM$10 + CurrentTrendBurnRate ), $AM$10 ) )</f>
        <v>59.500000000000007</v>
      </c>
      <c r="AO10">
        <f>MAX( 0, IF( $AO$21, ( $AN$10 + CurrentTrendBurnRate ), $AN$10 ) )</f>
        <v>59.500000000000007</v>
      </c>
    </row>
    <row r="11" spans="1:41" x14ac:dyDescent="0.25">
      <c r="A11" s="61" t="s">
        <v>55</v>
      </c>
      <c r="B11" s="68">
        <f>COUNTIF( H21:$JG21, FALSE )</f>
        <v>18</v>
      </c>
      <c r="C11" s="60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</row>
    <row r="12" spans="1:41" x14ac:dyDescent="0.25">
      <c r="A12" s="61" t="s">
        <v>56</v>
      </c>
      <c r="B12" s="68">
        <f>COUNTIF( H21:$JG21, TRUE )</f>
        <v>16</v>
      </c>
      <c r="C12" s="60"/>
      <c r="D12" s="81"/>
      <c r="E12" s="81"/>
      <c r="F12" s="94" t="s">
        <v>57</v>
      </c>
      <c r="G12" s="64">
        <f>TotalAssignedWork</f>
        <v>60</v>
      </c>
      <c r="H12" s="95">
        <f>MAX( 0, $G$12 - SUM( Planning!$C$20:$L$20 ) )</f>
        <v>60</v>
      </c>
      <c r="I12" s="95">
        <f>MAX( 0, $H$12 - SUM( Planning!$C$21:$L$21 ) )</f>
        <v>60</v>
      </c>
      <c r="J12" s="95">
        <f>MAX( 0, $I$12 - SUM( Planning!$C$22:$L$22 ) )</f>
        <v>60</v>
      </c>
      <c r="K12" s="95">
        <f>MAX( 0, $J$12 - SUM( Planning!$C$23:$L$23 ) )</f>
        <v>60</v>
      </c>
      <c r="L12" s="95">
        <f>MAX( 0, $K$12 - SUM( Planning!$C$24:$L$24 ) )</f>
        <v>60</v>
      </c>
      <c r="M12" s="95">
        <f>MAX( 0, $L$12 - SUM( Planning!$C$25:$L$25 ) )</f>
        <v>60</v>
      </c>
      <c r="N12" s="95">
        <f>MAX( 0, $M$12 - SUM( Planning!$C$26:$L$26 ) )</f>
        <v>60</v>
      </c>
      <c r="O12" s="95">
        <f>MAX( 0, $N$12 - SUM( Planning!$C$27:$L$27 ) )</f>
        <v>59</v>
      </c>
      <c r="P12" s="95">
        <f>MAX( 0, $O$12 - SUM( Planning!$C$28:$L$28 ) )</f>
        <v>58</v>
      </c>
      <c r="Q12" s="95">
        <f>MAX( 0, $P$12 - SUM( Planning!$C$29:$L$29 ) )</f>
        <v>56</v>
      </c>
      <c r="R12" s="95">
        <f>MAX( 0, $Q$12 - SUM( Planning!$C$30:$L$30 ) )</f>
        <v>56</v>
      </c>
      <c r="S12" s="95">
        <f>MAX( 0, $R$12 - SUM( Planning!$C$31:$L$31 ) )</f>
        <v>56</v>
      </c>
      <c r="T12" s="95">
        <f>MAX( 0, $S$12 - SUM( Planning!$C$32:$L$32 ) )</f>
        <v>47</v>
      </c>
      <c r="U12" s="95">
        <f>MAX( 0, $T$12 - SUM( Planning!$C$33:$L$33 ) )</f>
        <v>41</v>
      </c>
      <c r="V12" s="95">
        <f>MAX( 0, $U$12 - SUM( Planning!$C$34:$L$34 ) )</f>
        <v>33</v>
      </c>
      <c r="W12" s="95">
        <f>MAX( 0, $V$12 - SUM( Planning!$C$35:$L$35 ) )</f>
        <v>27</v>
      </c>
      <c r="X12" s="95">
        <f>MAX( 0, $W$12 - SUM( Planning!$C$36:$L$36 ) )</f>
        <v>19</v>
      </c>
      <c r="Y12" s="95">
        <f>MAX( 0, $X$12 - SUM( Planning!$C$37:$L$37 ) )</f>
        <v>19</v>
      </c>
      <c r="Z12" s="95">
        <f>MAX( 0, $Y$12 - SUM( Planning!$C$38:$L$38 ) )</f>
        <v>19</v>
      </c>
      <c r="AA12" s="95">
        <f>MAX( 0, $Z$12 - SUM( Planning!$C$39:$L$39 ) )</f>
        <v>10</v>
      </c>
      <c r="AB12" s="95">
        <f>MAX( 0, $AA$12 - SUM( Planning!$C$40:$L$40 ) )</f>
        <v>4</v>
      </c>
      <c r="AC12" s="95">
        <f>MAX( 0, $AB$12 - SUM( Planning!$C$41:$L$41 ) )</f>
        <v>0</v>
      </c>
      <c r="AD12" s="159">
        <f>MAX( 0, $J$12 - SUM( Planning!$C$42:$L$42 ) )</f>
        <v>0</v>
      </c>
      <c r="AE12" s="159">
        <f>MAX( 0, $AD$12 - SUM( Planning!$C$43:$L$43 ) )</f>
        <v>0</v>
      </c>
      <c r="AF12" s="159">
        <f>MAX( 0, $AE$12 - SUM( Planning!$C$44:$L$44 ) )</f>
        <v>0</v>
      </c>
      <c r="AG12" s="159">
        <f>MAX( 0, $AF$12 - SUM( Planning!$C$45:$L$45 ) )</f>
        <v>0</v>
      </c>
      <c r="AH12" s="159">
        <f>MAX( 0, $AG$12 - SUM( Planning!$C$46:$L$46 ) )</f>
        <v>0</v>
      </c>
      <c r="AI12" s="159">
        <f>MAX( 0, $AH$12 - SUM( Planning!$C$47:$L$47 ) )</f>
        <v>0</v>
      </c>
      <c r="AJ12" s="159">
        <f>MAX( 0, $AI$12 - SUM( Planning!$C$48:$L$48 ) )</f>
        <v>0</v>
      </c>
      <c r="AK12" s="159">
        <f>MAX( 0, $AJ$12 - SUM( Planning!$C$49:$L$49 ) )</f>
        <v>0</v>
      </c>
      <c r="AL12" s="159">
        <f>MAX( 0, $AK$12 - SUM( Planning!$C$50:$L$50 ) )</f>
        <v>0</v>
      </c>
      <c r="AM12" s="159">
        <f>MAX( 0, $AL$12 - SUM( Planning!$C$51:$L$51 ) )</f>
        <v>0</v>
      </c>
      <c r="AN12" s="159">
        <f>MAX( 0, $AM$12 - SUM( Planning!$C$52:$L$52 ) )</f>
        <v>0</v>
      </c>
      <c r="AO12" s="159">
        <f>MAX( 0, $AN$12 - SUM( Planning!$C$53:$L$53 ) )</f>
        <v>0</v>
      </c>
    </row>
    <row r="13" spans="1:41" x14ac:dyDescent="0.25">
      <c r="A13" s="61" t="s">
        <v>58</v>
      </c>
      <c r="B13" s="70">
        <v>-3.75</v>
      </c>
      <c r="C13" s="60"/>
      <c r="D13" s="81"/>
      <c r="E13" s="81"/>
      <c r="F13" s="61" t="s">
        <v>59</v>
      </c>
      <c r="G13" s="71"/>
      <c r="H13" s="65">
        <f t="shared" ref="H13:AC13" si="4">H12 - G12</f>
        <v>0</v>
      </c>
      <c r="I13" s="65">
        <f t="shared" si="4"/>
        <v>0</v>
      </c>
      <c r="J13" s="65">
        <f t="shared" si="4"/>
        <v>0</v>
      </c>
      <c r="K13" s="65">
        <f t="shared" si="4"/>
        <v>0</v>
      </c>
      <c r="L13" s="65">
        <f t="shared" si="4"/>
        <v>0</v>
      </c>
      <c r="M13" s="65">
        <f t="shared" si="4"/>
        <v>0</v>
      </c>
      <c r="N13" s="65">
        <f t="shared" si="4"/>
        <v>0</v>
      </c>
      <c r="O13" s="65">
        <f t="shared" si="4"/>
        <v>-1</v>
      </c>
      <c r="P13" s="65">
        <f t="shared" si="4"/>
        <v>-1</v>
      </c>
      <c r="Q13" s="65">
        <f t="shared" si="4"/>
        <v>-2</v>
      </c>
      <c r="R13" s="65">
        <f t="shared" si="4"/>
        <v>0</v>
      </c>
      <c r="S13" s="65">
        <f t="shared" si="4"/>
        <v>0</v>
      </c>
      <c r="T13" s="65">
        <f t="shared" si="4"/>
        <v>-9</v>
      </c>
      <c r="U13" s="65">
        <f t="shared" si="4"/>
        <v>-6</v>
      </c>
      <c r="V13" s="65">
        <f t="shared" si="4"/>
        <v>-8</v>
      </c>
      <c r="W13" s="65">
        <f t="shared" si="4"/>
        <v>-6</v>
      </c>
      <c r="X13" s="65">
        <f t="shared" si="4"/>
        <v>-8</v>
      </c>
      <c r="Y13" s="65">
        <f t="shared" si="4"/>
        <v>0</v>
      </c>
      <c r="Z13" s="65">
        <f t="shared" si="4"/>
        <v>0</v>
      </c>
      <c r="AA13" s="65">
        <f t="shared" si="4"/>
        <v>-9</v>
      </c>
      <c r="AB13" s="65">
        <f t="shared" si="4"/>
        <v>-6</v>
      </c>
      <c r="AC13" s="65">
        <f t="shared" si="4"/>
        <v>-4</v>
      </c>
    </row>
    <row r="14" spans="1:41" x14ac:dyDescent="0.25">
      <c r="A14" s="81"/>
      <c r="B14" s="81"/>
      <c r="C14" s="81"/>
      <c r="D14" s="81"/>
      <c r="E14" s="81"/>
      <c r="F14" s="61" t="s">
        <v>60</v>
      </c>
      <c r="G14" s="69">
        <f>TotalAssignedWork</f>
        <v>60</v>
      </c>
      <c r="H14" s="69">
        <f>MAX( 0, IF( $H$21, ( $G$14 + PlannedTrendBurnRate ), $G$14 ) )</f>
        <v>56.25</v>
      </c>
      <c r="I14" s="69">
        <f>MAX( 0, IF( $I$21, ( $H$14 + PlannedTrendBurnRate ), $H$14 ) )</f>
        <v>52.5</v>
      </c>
      <c r="J14" s="69">
        <f>MAX( 0, IF( $J$21, ( $I$14 + PlannedTrendBurnRate ), $I$14 ) )</f>
        <v>48.75</v>
      </c>
      <c r="K14" s="69">
        <f>MAX( 0, IF( $K$21, ( $J$14 + PlannedTrendBurnRate ), $J$14 ) )</f>
        <v>48.75</v>
      </c>
      <c r="L14" s="69">
        <f>MAX( 0, IF( $L$21, ( $K$14 + PlannedTrendBurnRate ), $K$14 ) )</f>
        <v>48.75</v>
      </c>
      <c r="M14" s="69">
        <f>MAX( 0, IF( $M$21, ( $L$14 + PlannedTrendBurnRate ), $L$14 ) )</f>
        <v>45</v>
      </c>
      <c r="N14" s="69">
        <f>MAX( 0, IF( $N$21, ( $M$14 + PlannedTrendBurnRate ), $M$14 ) )</f>
        <v>41.25</v>
      </c>
      <c r="O14" s="69">
        <f>MAX( 0, IF( $O$21, ( $N$14 + PlannedTrendBurnRate ), $N$14 ) )</f>
        <v>37.5</v>
      </c>
      <c r="P14" s="69">
        <f>MAX( 0, IF( $P$21, ( $O$14 + PlannedTrendBurnRate ), $O$14 ) )</f>
        <v>33.75</v>
      </c>
      <c r="Q14" s="69">
        <f>MAX( 0, IF( $Q$21, ( $P$14 + PlannedTrendBurnRate ), $P$14 ) )</f>
        <v>30</v>
      </c>
      <c r="R14" s="69">
        <f>MAX( 0, IF( $R$21, ( $Q$14 + PlannedTrendBurnRate ), $Q$14 ) )</f>
        <v>30</v>
      </c>
      <c r="S14" s="69">
        <f>MAX( 0, IF( $S$21, ( $R$14 + PlannedTrendBurnRate ), $R$14 ) )</f>
        <v>30</v>
      </c>
      <c r="T14" s="69">
        <f>MAX( 0, IF( $T$21, ( $S$14 + PlannedTrendBurnRate ), $S$14 ) )</f>
        <v>26.25</v>
      </c>
      <c r="U14" s="69">
        <f>MAX( 0, IF( $U$21, ( $T$14 + PlannedTrendBurnRate ), $T$14 ) )</f>
        <v>22.5</v>
      </c>
      <c r="V14" s="69">
        <f>MAX( 0, IF( $V$21, ( $U$14 + PlannedTrendBurnRate ), $U$14 ) )</f>
        <v>18.75</v>
      </c>
      <c r="W14" s="69">
        <f>MAX( 0, IF( $W$21, ( $V$14 + PlannedTrendBurnRate ), $V$14 ) )</f>
        <v>15</v>
      </c>
      <c r="X14" s="69">
        <f>MAX( 0, IF( $X$21, ( $W$14 + PlannedTrendBurnRate ), $W$14 ) )</f>
        <v>11.25</v>
      </c>
      <c r="Y14" s="69">
        <f>MAX( 0, IF( $Y$21, ( $X$14 + PlannedTrendBurnRate ), $X$14 ) )</f>
        <v>11.25</v>
      </c>
      <c r="Z14" s="69">
        <f>MAX( 0, IF( $Z$21, ( $Y$14 + PlannedTrendBurnRate ), $Y$14 ) )</f>
        <v>11.25</v>
      </c>
      <c r="AA14" s="69">
        <f>MAX( 0, IF( $AA$21, ( $Z$14 + PlannedTrendBurnRate ), $Z$14 ) )</f>
        <v>7.5</v>
      </c>
      <c r="AB14" s="69">
        <f>MAX( 0, IF( $AB$21, ( $AA$14 + PlannedTrendBurnRate ), $AA$14 ) )</f>
        <v>3.75</v>
      </c>
      <c r="AC14" s="69">
        <f>MAX( 0, IF( $AC$21, ( $AB$14 + PlannedTrendBurnRate ), $AB$14 ) )</f>
        <v>0</v>
      </c>
      <c r="AD14">
        <f>MAX( 0, IF( $AD$21, ( $J$14 + PlannedTrendBurnRate ), $J$14 ) )</f>
        <v>48.75</v>
      </c>
      <c r="AE14">
        <f>MAX( 0, IF( $AE$21, ( $AD$14 + PlannedTrendBurnRate ), $AD$14 ) )</f>
        <v>48.75</v>
      </c>
      <c r="AF14">
        <f>MAX( 0, IF( $AF$21, ( $AE$14 + PlannedTrendBurnRate ), $AE$14 ) )</f>
        <v>48.75</v>
      </c>
      <c r="AG14">
        <f>MAX( 0, IF( $AG$21, ( $AF$14 + PlannedTrendBurnRate ), $AF$14 ) )</f>
        <v>48.75</v>
      </c>
      <c r="AH14">
        <f>MAX( 0, IF( $AH$21, ( $AG$14 + PlannedTrendBurnRate ), $AG$14 ) )</f>
        <v>48.75</v>
      </c>
      <c r="AI14">
        <f>MAX( 0, IF( $AI$21, ( $AH$14 + PlannedTrendBurnRate ), $AH$14 ) )</f>
        <v>48.75</v>
      </c>
      <c r="AJ14">
        <f>MAX( 0, IF( $AJ$21, ( $AI$14 + PlannedTrendBurnRate ), $AI$14 ) )</f>
        <v>48.75</v>
      </c>
      <c r="AK14">
        <f>MAX( 0, IF( $AK$21, ( $AJ$14 + PlannedTrendBurnRate ), $AJ$14 ) )</f>
        <v>48.75</v>
      </c>
      <c r="AL14">
        <f>MAX( 0, IF( $AL$21, ( $AK$14 + PlannedTrendBurnRate ), $AK$14 ) )</f>
        <v>48.75</v>
      </c>
      <c r="AM14">
        <f>MAX( 0, IF( $AM$21, ( $AL$14 + PlannedTrendBurnRate ), $AL$14 ) )</f>
        <v>48.75</v>
      </c>
      <c r="AN14">
        <f>MAX( 0, IF( $AN$21, ( $AM$14 + PlannedTrendBurnRate ), $AM$14 ) )</f>
        <v>48.75</v>
      </c>
      <c r="AO14">
        <f>MAX( 0, IF( $AO$21, ( $AN$14 + PlannedTrendBurnRate ), $AN$14 ) )</f>
        <v>48.75</v>
      </c>
    </row>
    <row r="15" spans="1:41" x14ac:dyDescent="0.25">
      <c r="A15" s="61" t="s">
        <v>61</v>
      </c>
      <c r="B15" s="96">
        <v>-0.1666666716337204</v>
      </c>
      <c r="C15" s="60"/>
      <c r="D15" s="81"/>
      <c r="E15" s="81"/>
      <c r="F15" s="81"/>
      <c r="G15" s="72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</row>
    <row r="16" spans="1:41" x14ac:dyDescent="0.25">
      <c r="A16" s="61" t="s">
        <v>62</v>
      </c>
      <c r="B16" s="68">
        <f>ExpectedEffortDuration( PessimisticProjectionBurnRate, TotalAssignedWork, CurrentDay )</f>
        <v>360</v>
      </c>
      <c r="C16" s="60"/>
      <c r="D16" s="81"/>
      <c r="E16" s="81"/>
      <c r="F16" s="94" t="s">
        <v>63</v>
      </c>
      <c r="G16" s="94"/>
      <c r="H16" s="97"/>
      <c r="I16" s="97"/>
      <c r="J16" s="97"/>
      <c r="K16" s="97"/>
      <c r="L16" s="97"/>
      <c r="M16" s="97"/>
      <c r="N16" s="97"/>
      <c r="O16" s="97">
        <f>$O$7</f>
        <v>59</v>
      </c>
      <c r="P16" s="97">
        <f>MAX( 0, IF( $P$21, ( $O$16 + OptimisticProjectionBurnRate ), $O$16 ) )</f>
        <v>53.099999904632568</v>
      </c>
      <c r="Q16" s="97">
        <f>MAX( 0, IF( $Q$21, ( $P$16 + OptimisticProjectionBurnRate ), $P$16 ) )</f>
        <v>47.199999809265137</v>
      </c>
      <c r="R16" s="97">
        <f>MAX( 0, IF( $R$21, ( $Q$16 + OptimisticProjectionBurnRate ), $Q$16 ) )</f>
        <v>47.199999809265137</v>
      </c>
      <c r="S16" s="97">
        <f>MAX( 0, IF( $S$21, ( $R$16 + OptimisticProjectionBurnRate ), $R$16 ) )</f>
        <v>47.199999809265137</v>
      </c>
      <c r="T16" s="97">
        <f>MAX( 0, IF( $T$21, ( $S$16 + OptimisticProjectionBurnRate ), $S$16 ) )</f>
        <v>41.299999713897705</v>
      </c>
      <c r="U16" s="97">
        <f>MAX( 0, IF( $U$21, ( $T$16 + OptimisticProjectionBurnRate ), $T$16 ) )</f>
        <v>35.399999618530273</v>
      </c>
      <c r="V16" s="97">
        <f>MAX( 0, IF( $V$21, ( $U$16 + OptimisticProjectionBurnRate ), $U$16 ) )</f>
        <v>29.499999523162842</v>
      </c>
      <c r="W16" s="97">
        <f>MAX( 0, IF( $W$21, ( $V$16 + OptimisticProjectionBurnRate ), $V$16 ) )</f>
        <v>23.59999942779541</v>
      </c>
      <c r="X16" s="97">
        <f>MAX( 0, IF( $X$21, ( $W$16 + OptimisticProjectionBurnRate ), $W$16 ) )</f>
        <v>17.699999332427979</v>
      </c>
      <c r="Y16" s="97">
        <f>MAX( 0, IF( $Y$21, ( $X$16 + OptimisticProjectionBurnRate ), $X$16 ) )</f>
        <v>17.699999332427979</v>
      </c>
      <c r="Z16" s="97">
        <f>MAX( 0, IF( $Z$21, ( $Y$16 + OptimisticProjectionBurnRate ), $Y$16 ) )</f>
        <v>17.699999332427979</v>
      </c>
      <c r="AA16" s="97">
        <f>MAX( 0, IF( $AA$21, ( $Z$16 + OptimisticProjectionBurnRate ), $Z$16 ) )</f>
        <v>11.799999237060547</v>
      </c>
      <c r="AB16" s="97">
        <f>MAX( 0, IF( $AB$21, ( $AA$16 + OptimisticProjectionBurnRate ), $AA$16 ) )</f>
        <v>5.8999991416931152</v>
      </c>
      <c r="AC16" s="97">
        <f>MAX( 0, IF( $AC$21, ( $AB$16 + OptimisticProjectionBurnRate ), $AB$16 ) )</f>
        <v>0</v>
      </c>
    </row>
    <row r="17" spans="1:41" x14ac:dyDescent="0.25">
      <c r="A17" s="61" t="s">
        <v>64</v>
      </c>
      <c r="B17" s="73">
        <f>DaysVariance( PessimisticProjectionBurnRate, NumberOfWorkingDaysInSprint, PessimisticProjectionSprintDuration )</f>
        <v>-344</v>
      </c>
      <c r="C17" s="81"/>
      <c r="D17" s="81"/>
      <c r="E17" s="81"/>
      <c r="F17" s="98" t="s">
        <v>65</v>
      </c>
      <c r="G17" s="98"/>
      <c r="H17" s="99"/>
      <c r="I17" s="99"/>
      <c r="J17" s="99"/>
      <c r="K17" s="99"/>
      <c r="L17" s="99"/>
      <c r="M17" s="99"/>
      <c r="N17" s="99"/>
      <c r="O17" s="99">
        <f>$O$7</f>
        <v>59</v>
      </c>
      <c r="P17" s="99">
        <f>MAX( 0, IF( $P$21, ( $O$17 + PessimisticProjectionBurnRate ), $O$17 ) )</f>
        <v>58.83333332836628</v>
      </c>
      <c r="Q17" s="99">
        <f>MAX( 0, IF( $Q$21, ( $P$17 + PessimisticProjectionBurnRate ), $P$17 ) )</f>
        <v>58.666666656732559</v>
      </c>
      <c r="R17" s="99">
        <f>MAX( 0, IF( $R$21, ( $Q$17 + PessimisticProjectionBurnRate ), $Q$17 ) )</f>
        <v>58.666666656732559</v>
      </c>
      <c r="S17" s="99">
        <f>MAX( 0, IF( $S$21, ( $R$17 + PessimisticProjectionBurnRate ), $R$17 ) )</f>
        <v>58.666666656732559</v>
      </c>
      <c r="T17" s="99">
        <f>MAX( 0, IF( $T$21, ( $S$17 + PessimisticProjectionBurnRate ), $S$17 ) )</f>
        <v>58.499999985098839</v>
      </c>
      <c r="U17" s="99">
        <f>MAX( 0, IF( $U$21, ( $T$17 + PessimisticProjectionBurnRate ), $T$17 ) )</f>
        <v>58.333333313465118</v>
      </c>
      <c r="V17" s="99">
        <f>MAX( 0, IF( $V$21, ( $U$17 + PessimisticProjectionBurnRate ), $U$17 ) )</f>
        <v>58.166666641831398</v>
      </c>
      <c r="W17" s="99">
        <f>MAX( 0, IF( $W$21, ( $V$17 + PessimisticProjectionBurnRate ), $V$17 ) )</f>
        <v>57.999999970197678</v>
      </c>
      <c r="X17" s="99">
        <f>MAX( 0, IF( $X$21, ( $W$17 + PessimisticProjectionBurnRate ), $W$17 ) )</f>
        <v>57.833333298563957</v>
      </c>
      <c r="Y17" s="99">
        <f>MAX( 0, IF( $Y$21, ( $X$17 + PessimisticProjectionBurnRate ), $X$17 ) )</f>
        <v>57.833333298563957</v>
      </c>
      <c r="Z17" s="99">
        <f>MAX( 0, IF( $Z$21, ( $Y$17 + PessimisticProjectionBurnRate ), $Y$17 ) )</f>
        <v>57.833333298563957</v>
      </c>
      <c r="AA17" s="99">
        <f>MAX( 0, IF( $AA$21, ( $Z$17 + PessimisticProjectionBurnRate ), $Z$17 ) )</f>
        <v>57.666666626930237</v>
      </c>
      <c r="AB17" s="99">
        <f>MAX( 0, IF( $AB$21, ( $AA$17 + PessimisticProjectionBurnRate ), $AA$17 ) )</f>
        <v>57.499999955296516</v>
      </c>
      <c r="AC17" s="99">
        <f>MAX( 0, IF( $AC$21, ( $AB$17 + PessimisticProjectionBurnRate ), $AB$17 ) )</f>
        <v>57.333333283662796</v>
      </c>
    </row>
    <row r="18" spans="1:41" x14ac:dyDescent="0.25">
      <c r="A18" s="100" t="s">
        <v>66</v>
      </c>
      <c r="B18" s="101">
        <f>PercentVariance( PessimisticProjectionBurnRate, NumberOfWorkingDaysInSprint, PessimisticProjectionSprintDuration )</f>
        <v>-21.5</v>
      </c>
      <c r="C18" s="102"/>
      <c r="D18" s="81"/>
      <c r="E18" s="81"/>
    </row>
    <row r="19" spans="1:41" x14ac:dyDescent="0.25">
      <c r="A19" s="61" t="s">
        <v>67</v>
      </c>
      <c r="B19" s="169" t="str">
        <f>ProjectedAccuracyMessage( PessimisticProjectionBurnRate, PessimisticProjectionVariancePercent )</f>
        <v>Re-asses the sprint</v>
      </c>
      <c r="C19" s="67"/>
      <c r="D19" s="81"/>
      <c r="E19" s="81"/>
      <c r="F19" s="61" t="s">
        <v>68</v>
      </c>
      <c r="G19" s="89">
        <v>27</v>
      </c>
      <c r="H19" s="89">
        <v>27</v>
      </c>
      <c r="I19" s="89">
        <v>27</v>
      </c>
      <c r="J19" s="89">
        <v>27</v>
      </c>
      <c r="K19" s="89">
        <v>27</v>
      </c>
      <c r="L19" s="89">
        <v>27</v>
      </c>
      <c r="M19" s="89">
        <v>27</v>
      </c>
      <c r="N19" s="89">
        <v>27</v>
      </c>
      <c r="O19" s="89">
        <v>26</v>
      </c>
      <c r="P19" s="89">
        <v>26</v>
      </c>
      <c r="Q19" s="89">
        <v>26</v>
      </c>
      <c r="R19" s="89">
        <v>26</v>
      </c>
      <c r="S19" s="89">
        <v>26</v>
      </c>
      <c r="T19" s="89">
        <v>26</v>
      </c>
      <c r="U19" s="89">
        <v>26</v>
      </c>
      <c r="V19" s="89">
        <v>26</v>
      </c>
      <c r="W19" s="89">
        <v>26</v>
      </c>
      <c r="X19" s="89">
        <v>26</v>
      </c>
      <c r="Y19" s="89">
        <v>26</v>
      </c>
      <c r="Z19" s="89">
        <v>26</v>
      </c>
      <c r="AA19" s="89">
        <v>26</v>
      </c>
      <c r="AB19" s="89">
        <v>26</v>
      </c>
      <c r="AC19" s="89">
        <v>26</v>
      </c>
    </row>
    <row r="20" spans="1:41" x14ac:dyDescent="0.25">
      <c r="B20" s="104"/>
      <c r="D20" s="81"/>
      <c r="E20" s="81"/>
    </row>
    <row r="21" spans="1:41" x14ac:dyDescent="0.25">
      <c r="A21" s="61" t="s">
        <v>69</v>
      </c>
      <c r="B21" s="105">
        <v>-5.9000000953674316</v>
      </c>
      <c r="C21" s="74"/>
      <c r="D21" s="81"/>
      <c r="E21" s="81"/>
      <c r="F21" s="61" t="s">
        <v>70</v>
      </c>
      <c r="G21" s="75">
        <f>COUNTIF( H21:$JG21, TRUE )</f>
        <v>16</v>
      </c>
      <c r="H21" s="81" t="b">
        <f>IsDayPartOfSprint( $H$3 )</f>
        <v>1</v>
      </c>
      <c r="I21" s="81" t="b">
        <f>IsDayPartOfSprint( $I$3 )</f>
        <v>1</v>
      </c>
      <c r="J21" s="81" t="b">
        <f>IsDayPartOfSprint( $J$3 )</f>
        <v>1</v>
      </c>
      <c r="K21" s="81" t="b">
        <f>IsDayPartOfSprint( $K$3 )</f>
        <v>0</v>
      </c>
      <c r="L21" s="81" t="b">
        <f>IsDayPartOfSprint( $L$3 )</f>
        <v>0</v>
      </c>
      <c r="M21" s="81" t="b">
        <f>IsDayPartOfSprint( $M$3 )</f>
        <v>1</v>
      </c>
      <c r="N21" s="81" t="b">
        <f>IsDayPartOfSprint( $N$3 )</f>
        <v>1</v>
      </c>
      <c r="O21" s="81" t="b">
        <f>IsDayPartOfSprint( $O$3 )</f>
        <v>1</v>
      </c>
      <c r="P21" s="81" t="b">
        <f>IsDayPartOfSprint( $P$3 )</f>
        <v>1</v>
      </c>
      <c r="Q21" s="81" t="b">
        <f>IsDayPartOfSprint( $Q$3 )</f>
        <v>1</v>
      </c>
      <c r="R21" s="81" t="b">
        <f>IsDayPartOfSprint( $R$3 )</f>
        <v>0</v>
      </c>
      <c r="S21" s="81" t="b">
        <f>IsDayPartOfSprint( $S$3 )</f>
        <v>0</v>
      </c>
      <c r="T21" s="81" t="b">
        <f>IsDayPartOfSprint( $T$3 )</f>
        <v>1</v>
      </c>
      <c r="U21" s="81" t="b">
        <f>IsDayPartOfSprint( $U$3 )</f>
        <v>1</v>
      </c>
      <c r="V21" s="81" t="b">
        <f>IsDayPartOfSprint( $V$3 )</f>
        <v>1</v>
      </c>
      <c r="W21" s="81" t="b">
        <f>IsDayPartOfSprint( $W$3 )</f>
        <v>1</v>
      </c>
      <c r="X21" s="81" t="b">
        <f>IsDayPartOfSprint( $X$3 )</f>
        <v>1</v>
      </c>
      <c r="Y21" s="81" t="b">
        <f>IsDayPartOfSprint( $Y$3 )</f>
        <v>0</v>
      </c>
      <c r="Z21" s="81" t="b">
        <f>IsDayPartOfSprint( $Z$3 )</f>
        <v>0</v>
      </c>
      <c r="AA21" s="81" t="b">
        <f>IsDayPartOfSprint( $AA$3 )</f>
        <v>1</v>
      </c>
      <c r="AB21" s="81" t="b">
        <f>IsDayPartOfSprint( $AB$3 )</f>
        <v>1</v>
      </c>
      <c r="AC21" s="81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61" t="s">
        <v>62</v>
      </c>
      <c r="B22" s="68">
        <f>ExpectedEffortDuration( OptimisticProjectionBurnRate, TotalAssignedWork, CurrentDay )</f>
        <v>16</v>
      </c>
      <c r="D22" s="81"/>
      <c r="E22" s="81"/>
      <c r="F22" s="76" t="s">
        <v>71</v>
      </c>
      <c r="G22" s="71">
        <f>COUNTIF( H22:$JG22, TRUE )</f>
        <v>5</v>
      </c>
      <c r="H22" s="71" t="b">
        <f>ShouldDayBeCountedInCalculations( $H$3 )</f>
        <v>1</v>
      </c>
      <c r="I22" s="71" t="b">
        <f>ShouldDayBeCountedInCalculations( $I$3 )</f>
        <v>1</v>
      </c>
      <c r="J22" s="71" t="b">
        <f>ShouldDayBeCountedInCalculations( $J$3 )</f>
        <v>1</v>
      </c>
      <c r="K22" s="71" t="b">
        <f>ShouldDayBeCountedInCalculations( $K$3 )</f>
        <v>0</v>
      </c>
      <c r="L22" s="71" t="b">
        <f>ShouldDayBeCountedInCalculations( $L$3 )</f>
        <v>0</v>
      </c>
      <c r="M22" s="71" t="b">
        <f>ShouldDayBeCountedInCalculations( $M$3 )</f>
        <v>1</v>
      </c>
      <c r="N22" s="71" t="b">
        <f>ShouldDayBeCountedInCalculations( $N$3 )</f>
        <v>0</v>
      </c>
      <c r="O22" s="71" t="b">
        <f>ShouldDayBeCountedInCalculations( $O$3 )</f>
        <v>1</v>
      </c>
      <c r="P22" s="71" t="b">
        <f>ShouldDayBeCountedInCalculations( $P$3 )</f>
        <v>0</v>
      </c>
      <c r="Q22" s="71" t="b">
        <f>ShouldDayBeCountedInCalculations( $Q$3 )</f>
        <v>0</v>
      </c>
      <c r="R22" s="71" t="b">
        <f>ShouldDayBeCountedInCalculations( $R$3 )</f>
        <v>0</v>
      </c>
      <c r="S22" s="71" t="b">
        <f>ShouldDayBeCountedInCalculations( $S$3 )</f>
        <v>0</v>
      </c>
      <c r="T22" s="71" t="b">
        <f>ShouldDayBeCountedInCalculations( $T$3 )</f>
        <v>0</v>
      </c>
      <c r="U22" s="71" t="b">
        <f>ShouldDayBeCountedInCalculations( $U$3 )</f>
        <v>0</v>
      </c>
      <c r="V22" s="71" t="b">
        <f>ShouldDayBeCountedInCalculations( $V$3 )</f>
        <v>0</v>
      </c>
      <c r="W22" s="71" t="b">
        <f>ShouldDayBeCountedInCalculations( $W$3 )</f>
        <v>0</v>
      </c>
      <c r="X22" s="71" t="b">
        <f>ShouldDayBeCountedInCalculations( $X$3 )</f>
        <v>0</v>
      </c>
      <c r="Y22" s="71" t="b">
        <f>ShouldDayBeCountedInCalculations( $Y$3 )</f>
        <v>0</v>
      </c>
      <c r="Z22" s="71" t="b">
        <f>ShouldDayBeCountedInCalculations( $Z$3 )</f>
        <v>0</v>
      </c>
      <c r="AA22" s="71" t="b">
        <f>ShouldDayBeCountedInCalculations( $AA$3 )</f>
        <v>0</v>
      </c>
      <c r="AB22" s="71" t="b">
        <f>ShouldDayBeCountedInCalculations( $AB$3 )</f>
        <v>0</v>
      </c>
      <c r="AC22" s="71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61" t="s">
        <v>64</v>
      </c>
      <c r="B23" s="73">
        <f>DaysVariance( OptimisticProjectionBurnRate, NumberOfWorkingDaysInSprint, OptimisticProjectionSprintDuration )</f>
        <v>0</v>
      </c>
      <c r="D23" s="81"/>
      <c r="E23" s="81"/>
    </row>
    <row r="24" spans="1:41" x14ac:dyDescent="0.25">
      <c r="A24" s="100" t="s">
        <v>66</v>
      </c>
      <c r="B24" s="101">
        <f>PercentVariance( OptimisticProjectionBurnRate, NumberOfWorkingDaysInSprint, OptimisticProjectionSprintDuration )</f>
        <v>0</v>
      </c>
      <c r="D24" s="81"/>
      <c r="E24" s="81"/>
      <c r="F24" s="81"/>
    </row>
    <row r="25" spans="1:41" x14ac:dyDescent="0.25">
      <c r="A25" s="61" t="s">
        <v>67</v>
      </c>
      <c r="B25" s="171" t="str">
        <f>ProjectedAccuracyMessage( OptimisticProjectionBurnRate, OptimisticProjectionVariancePercent )</f>
        <v>Acceptable</v>
      </c>
      <c r="D25" s="81"/>
      <c r="E25" s="81"/>
      <c r="F25" s="81"/>
    </row>
    <row r="26" spans="1:41" x14ac:dyDescent="0.25">
      <c r="D26" s="81"/>
      <c r="E26" s="81"/>
      <c r="F26" s="106"/>
    </row>
    <row r="27" spans="1:41" x14ac:dyDescent="0.25">
      <c r="A27" s="77" t="s">
        <v>72</v>
      </c>
      <c r="B27" s="60"/>
      <c r="C27" s="60"/>
      <c r="D27" s="81"/>
      <c r="E27" s="81"/>
      <c r="F27" s="81"/>
    </row>
    <row r="28" spans="1:41" x14ac:dyDescent="0.25">
      <c r="A28" s="77" t="s">
        <v>73</v>
      </c>
      <c r="B28" s="77" t="str">
        <f xml:space="preserve"> "b = " &amp; TotalAssignedWork</f>
        <v>b = 60</v>
      </c>
      <c r="D28" s="81"/>
      <c r="E28" s="81"/>
      <c r="F28" s="81"/>
    </row>
    <row r="29" spans="1:41" x14ac:dyDescent="0.25">
      <c r="A29" s="77" t="s">
        <v>74</v>
      </c>
      <c r="B29" s="61" t="str">
        <f xml:space="preserve"> "m = " &amp; FIXED( CurrentTrendBurnRate, 2 )</f>
        <v>m = -0.17</v>
      </c>
      <c r="D29" s="81"/>
      <c r="E29" s="81"/>
      <c r="F29" s="81"/>
    </row>
    <row r="30" spans="1:41" x14ac:dyDescent="0.25">
      <c r="A30" s="77" t="s">
        <v>75</v>
      </c>
      <c r="B30" s="78" t="s">
        <v>76</v>
      </c>
      <c r="D30" s="81"/>
      <c r="E30" s="81"/>
      <c r="F30" s="81"/>
    </row>
    <row r="31" spans="1:41" x14ac:dyDescent="0.25">
      <c r="A31" s="61" t="str">
        <f xml:space="preserve"> "x = " &amp; -TotalAssignedWork &amp; " / " &amp; FIXED( CurrentTrendBurnRate, 2 )</f>
        <v>x = -60 / -0.17</v>
      </c>
      <c r="B31" s="60"/>
      <c r="D31" s="81"/>
      <c r="E31" s="81"/>
      <c r="F31" s="81"/>
    </row>
    <row r="32" spans="1:41" x14ac:dyDescent="0.25">
      <c r="A32" s="61" t="str">
        <f xml:space="preserve"> "x = " &amp; IF( CurrentTrendBurnRate = 0, "undefined", FIXED( ( -TotalAssignedWork / CurrentTrendBurnRate ),  2 ) )</f>
        <v>x = 360.00</v>
      </c>
      <c r="B32" s="76" t="str">
        <f>"RoundUp( x ) = " &amp; IF( CurrentTrendBurnRate = 0, "undefined", ROUNDUP( FIXED( ( -TotalAssignedWork / CurrentTrendBurnRate ), 2 ), 0 ) )</f>
        <v>RoundUp( x ) = 360</v>
      </c>
      <c r="D32" s="81"/>
      <c r="E32" s="81"/>
      <c r="F32" s="81"/>
    </row>
    <row r="33" spans="1:6" x14ac:dyDescent="0.25">
      <c r="C33" s="60"/>
      <c r="D33" s="81"/>
      <c r="E33" s="81"/>
      <c r="F33" s="81"/>
    </row>
    <row r="34" spans="1:6" x14ac:dyDescent="0.25">
      <c r="A34" s="228" t="s">
        <v>77</v>
      </c>
      <c r="B34" s="228"/>
      <c r="C34" s="60"/>
      <c r="D34" s="81"/>
      <c r="E34" s="81"/>
      <c r="F34" s="81"/>
    </row>
    <row r="35" spans="1:6" x14ac:dyDescent="0.25">
      <c r="A35" s="107" t="s">
        <v>78</v>
      </c>
      <c r="B35" s="107" t="s">
        <v>79</v>
      </c>
      <c r="C35" s="60"/>
      <c r="D35" s="81"/>
      <c r="E35" s="81"/>
      <c r="F35" s="81"/>
    </row>
    <row r="36" spans="1:6" x14ac:dyDescent="0.25">
      <c r="A36" s="108" t="s">
        <v>80</v>
      </c>
      <c r="B36" s="108">
        <f>2^32</f>
        <v>4294967296</v>
      </c>
      <c r="C36" s="60"/>
      <c r="D36" s="81"/>
      <c r="E36" s="81"/>
      <c r="F36" s="81"/>
    </row>
    <row r="37" spans="1:6" x14ac:dyDescent="0.25">
      <c r="A37" s="109" t="s">
        <v>81</v>
      </c>
      <c r="B37" s="110">
        <v>0.5</v>
      </c>
      <c r="C37" s="60"/>
      <c r="D37" s="81"/>
      <c r="E37" s="81"/>
      <c r="F37" s="81"/>
    </row>
    <row r="38" spans="1:6" x14ac:dyDescent="0.25">
      <c r="A38" s="111" t="s">
        <v>82</v>
      </c>
      <c r="B38" s="112">
        <v>0.25</v>
      </c>
      <c r="C38" s="60"/>
      <c r="D38" s="81"/>
      <c r="E38" s="81"/>
      <c r="F38" s="81"/>
    </row>
    <row r="39" spans="1:6" x14ac:dyDescent="0.25">
      <c r="A39" s="113" t="s">
        <v>83</v>
      </c>
      <c r="B39" s="114">
        <v>0.1</v>
      </c>
      <c r="C39" s="60"/>
      <c r="D39" s="81"/>
      <c r="E39" s="81"/>
      <c r="F39" s="81"/>
    </row>
    <row r="40" spans="1:6" x14ac:dyDescent="0.25">
      <c r="A40" s="115"/>
      <c r="B40" s="115"/>
      <c r="C40"/>
      <c r="D40" s="81"/>
      <c r="E40" s="81"/>
      <c r="F40" s="81"/>
    </row>
    <row r="41" spans="1:6" x14ac:dyDescent="0.25">
      <c r="A41" s="229" t="s">
        <v>84</v>
      </c>
      <c r="B41" s="229"/>
      <c r="C41"/>
      <c r="D41" s="81"/>
      <c r="E41" s="81"/>
      <c r="F41" s="81"/>
    </row>
    <row r="42" spans="1:6" x14ac:dyDescent="0.25">
      <c r="A42" s="116" t="str">
        <f>Planning!$A$5 &amp; "
Planning Worksheet -- Embrace Reality"</f>
        <v>&lt;Your Team Name Here&gt;
Planning Worksheet -- Embrace Reality</v>
      </c>
      <c r="B42" s="81"/>
      <c r="C42"/>
      <c r="D42" s="81"/>
      <c r="E42" s="81"/>
      <c r="F42" s="81"/>
    </row>
    <row r="43" spans="1:6" x14ac:dyDescent="0.25">
      <c r="A43" s="116" t="str">
        <f>Planning!$A$5 &amp; "
Sprint Backlog -- Embrace Reality"</f>
        <v>&lt;Your Team Name Here&gt;
Sprint Backlog -- Embrace Reality</v>
      </c>
      <c r="B43" s="81"/>
      <c r="C43"/>
      <c r="D43" s="81"/>
      <c r="E43" s="81"/>
      <c r="F43" s="81"/>
    </row>
    <row r="44" spans="1:6" x14ac:dyDescent="0.25">
      <c r="A44" s="116" t="str">
        <f>Planning!$A$5 &amp; "
Team Burndown Chart -- Embrace Reality"</f>
        <v>&lt;Your Team Name Here&gt;
Team Burndown Chart -- Embrace Reality</v>
      </c>
      <c r="B44" s="81"/>
      <c r="C44"/>
      <c r="D44" s="81"/>
      <c r="E44" s="81"/>
      <c r="F44" s="94"/>
    </row>
    <row r="45" spans="1:6" x14ac:dyDescent="0.25">
      <c r="A45" s="116" t="str">
        <f>Planning!$A$5 &amp; "
Team Member Burndown Chart -- Embrace Reality"</f>
        <v>&lt;Your Team Name Here&gt;
Team Member Burndown Chart -- Embrace Reality</v>
      </c>
      <c r="B45" s="81"/>
      <c r="C45"/>
      <c r="D45" s="81"/>
      <c r="E45" s="81"/>
      <c r="F45" s="81"/>
    </row>
    <row r="46" spans="1:6" x14ac:dyDescent="0.25">
      <c r="A46" s="117" t="str">
        <f>Planning!$A$5 &amp; " - Calculations -- Embrace Reality"</f>
        <v>&lt;Your Team Name Here&gt; - Calculations -- Embrace Reality</v>
      </c>
      <c r="B46" s="117"/>
      <c r="C46"/>
      <c r="D46" s="81"/>
      <c r="E46" s="81"/>
    </row>
    <row r="47" spans="1:6" x14ac:dyDescent="0.25">
      <c r="C47"/>
    </row>
    <row r="48" spans="1:6" x14ac:dyDescent="0.25">
      <c r="A48" s="103" t="s">
        <v>85</v>
      </c>
      <c r="B48" s="118">
        <v>0.15</v>
      </c>
      <c r="C48"/>
    </row>
    <row r="49" spans="1:3" x14ac:dyDescent="0.25">
      <c r="A49" s="103" t="s">
        <v>86</v>
      </c>
      <c r="B49" s="103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119" t="s">
        <v>87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2106B014ECE04D91C72BB0C897297D" ma:contentTypeVersion="0" ma:contentTypeDescription="Create a new document." ma:contentTypeScope="" ma:versionID="4a7160447893f87ca8e6479e425c78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C480AC3-71AF-4268-9281-464A702486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dstewart</dc:creator>
  <cp:lastModifiedBy>James Ross</cp:lastModifiedBy>
  <dcterms:created xsi:type="dcterms:W3CDTF">1996-10-14T23:33:28Z</dcterms:created>
  <dcterms:modified xsi:type="dcterms:W3CDTF">2022-03-23T17:45:05Z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0x010100362106B014ECE04D91C72BB0C897297D</vt:lpwstr>
  </property>
</Properties>
</file>